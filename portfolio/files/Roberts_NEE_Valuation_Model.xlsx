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ryanroberts/Downloads/"/>
    </mc:Choice>
  </mc:AlternateContent>
  <xr:revisionPtr revIDLastSave="0" documentId="13_ncr:1_{2FA5E7F2-1D2E-EB4C-8B1A-E3A5AB313EE4}" xr6:coauthVersionLast="47" xr6:coauthVersionMax="47" xr10:uidLastSave="{00000000-0000-0000-0000-000000000000}"/>
  <bookViews>
    <workbookView xWindow="10280" yWindow="760" windowWidth="19480" windowHeight="17200" tabRatio="500" activeTab="3" xr2:uid="{00000000-000D-0000-FFFF-FFFF00000000}"/>
  </bookViews>
  <sheets>
    <sheet name="Dashboard" sheetId="1" r:id="rId1"/>
    <sheet name="3-Statement Model" sheetId="2" r:id="rId2"/>
    <sheet name="DDM Model" sheetId="3" r:id="rId3"/>
    <sheet name="Residual Income Model" sheetId="4" r:id="rId4"/>
    <sheet name="SOTP &amp; Multiples" sheetId="5" r:id="rId5"/>
    <sheet name="Operating Model" sheetId="6" r:id="rId6"/>
    <sheet name="16'-25' 10Ks" sheetId="7" r:id="rId7"/>
    <sheet name="DDM Assumptions" sheetId="8" r:id="rId8"/>
  </sheets>
  <definedNames>
    <definedName name="CIQWBGuid" hidden="1">"2cd8126d-26c3-430c-b7fa-a069e3a1fc62"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3" i="8" l="1"/>
  <c r="F43" i="8"/>
  <c r="F42" i="8"/>
  <c r="F41" i="8"/>
  <c r="F40" i="8"/>
  <c r="F39" i="8"/>
  <c r="F38" i="8"/>
  <c r="F37" i="8"/>
  <c r="F36" i="8"/>
  <c r="F35" i="8"/>
  <c r="F34" i="8"/>
  <c r="F44" i="8" s="1"/>
  <c r="D49" i="8" s="1"/>
  <c r="F29" i="8"/>
  <c r="F28" i="8"/>
  <c r="F27" i="8"/>
  <c r="F26" i="8"/>
  <c r="F25" i="8"/>
  <c r="F24" i="8"/>
  <c r="F23" i="8"/>
  <c r="F22" i="8"/>
  <c r="F21" i="8"/>
  <c r="F20" i="8"/>
  <c r="C14" i="8"/>
  <c r="C13" i="8"/>
  <c r="C12" i="8"/>
  <c r="C7" i="8"/>
  <c r="C6" i="8"/>
  <c r="F17" i="6"/>
  <c r="L6" i="6"/>
  <c r="K6" i="6"/>
  <c r="J6" i="6"/>
  <c r="I6" i="6"/>
  <c r="H6" i="6"/>
  <c r="G6" i="6"/>
  <c r="F6" i="6"/>
  <c r="M46" i="5"/>
  <c r="K46" i="5"/>
  <c r="L46" i="5" s="1"/>
  <c r="J46" i="5"/>
  <c r="M45" i="5"/>
  <c r="J45" i="5"/>
  <c r="K45" i="5" s="1"/>
  <c r="L45" i="5" s="1"/>
  <c r="M44" i="5"/>
  <c r="L44" i="5"/>
  <c r="K44" i="5"/>
  <c r="J44" i="5"/>
  <c r="M43" i="5"/>
  <c r="K43" i="5"/>
  <c r="L43" i="5" s="1"/>
  <c r="J43" i="5"/>
  <c r="N42" i="5"/>
  <c r="E42" i="5" s="1"/>
  <c r="M42" i="5"/>
  <c r="J42" i="5"/>
  <c r="K42" i="5" s="1"/>
  <c r="L42" i="5" s="1"/>
  <c r="M41" i="5"/>
  <c r="K41" i="5"/>
  <c r="L41" i="5" s="1"/>
  <c r="J41" i="5"/>
  <c r="N40" i="5"/>
  <c r="E40" i="5" s="1"/>
  <c r="M40" i="5"/>
  <c r="K40" i="5"/>
  <c r="L40" i="5" s="1"/>
  <c r="J40" i="5"/>
  <c r="N39" i="5"/>
  <c r="M39" i="5"/>
  <c r="J39" i="5"/>
  <c r="K39" i="5" s="1"/>
  <c r="L39" i="5" s="1"/>
  <c r="E39" i="5"/>
  <c r="N38" i="5"/>
  <c r="E38" i="5" s="1"/>
  <c r="M38" i="5"/>
  <c r="L38" i="5"/>
  <c r="J38" i="5"/>
  <c r="K38" i="5" s="1"/>
  <c r="N37" i="5"/>
  <c r="E37" i="5" s="1"/>
  <c r="E47" i="5" s="1"/>
  <c r="M37" i="5"/>
  <c r="J37" i="5"/>
  <c r="K37" i="5" s="1"/>
  <c r="L37" i="5" s="1"/>
  <c r="P31" i="5"/>
  <c r="E31" i="5" s="1"/>
  <c r="O31" i="5"/>
  <c r="N31" i="5"/>
  <c r="L31" i="5"/>
  <c r="M31" i="5" s="1"/>
  <c r="K31" i="5"/>
  <c r="P30" i="5"/>
  <c r="O30" i="5"/>
  <c r="K30" i="5"/>
  <c r="E30" i="5"/>
  <c r="P29" i="5"/>
  <c r="E29" i="5" s="1"/>
  <c r="O29" i="5"/>
  <c r="N29" i="5"/>
  <c r="L29" i="5"/>
  <c r="M29" i="5" s="1"/>
  <c r="K29" i="5"/>
  <c r="P28" i="5"/>
  <c r="O28" i="5"/>
  <c r="N28" i="5"/>
  <c r="L28" i="5"/>
  <c r="M28" i="5" s="1"/>
  <c r="K28" i="5"/>
  <c r="E28" i="5"/>
  <c r="P27" i="5"/>
  <c r="O27" i="5"/>
  <c r="K27" i="5"/>
  <c r="N27" i="5" s="1"/>
  <c r="E27" i="5"/>
  <c r="P26" i="5"/>
  <c r="E26" i="5" s="1"/>
  <c r="O26" i="5"/>
  <c r="O32" i="5" s="1"/>
  <c r="K26" i="5"/>
  <c r="P25" i="5"/>
  <c r="O25" i="5"/>
  <c r="N25" i="5"/>
  <c r="L25" i="5"/>
  <c r="M25" i="5" s="1"/>
  <c r="K25" i="5"/>
  <c r="E25" i="5"/>
  <c r="P24" i="5"/>
  <c r="O24" i="5"/>
  <c r="K24" i="5"/>
  <c r="E24" i="5"/>
  <c r="P23" i="5"/>
  <c r="E23" i="5" s="1"/>
  <c r="O23" i="5"/>
  <c r="N23" i="5"/>
  <c r="L23" i="5"/>
  <c r="M23" i="5" s="1"/>
  <c r="K23" i="5"/>
  <c r="P22" i="5"/>
  <c r="E22" i="5" s="1"/>
  <c r="O22" i="5"/>
  <c r="N22" i="5"/>
  <c r="M22" i="5"/>
  <c r="K22" i="5"/>
  <c r="L22" i="5" s="1"/>
  <c r="C18" i="5"/>
  <c r="F58" i="5" s="1"/>
  <c r="C16" i="5"/>
  <c r="D15" i="5"/>
  <c r="D14" i="5"/>
  <c r="D16" i="5" s="1"/>
  <c r="D13" i="5"/>
  <c r="D11" i="5"/>
  <c r="C11" i="5"/>
  <c r="C12" i="5" s="1"/>
  <c r="L37" i="4"/>
  <c r="K37" i="4"/>
  <c r="J37" i="4"/>
  <c r="I37" i="4"/>
  <c r="H37" i="4"/>
  <c r="G37" i="4"/>
  <c r="F37" i="4"/>
  <c r="E37" i="4"/>
  <c r="D37" i="4"/>
  <c r="C37" i="4"/>
  <c r="D33" i="4"/>
  <c r="D19" i="4"/>
  <c r="C19" i="4"/>
  <c r="F14" i="4"/>
  <c r="G14" i="4" s="1"/>
  <c r="H14" i="4" s="1"/>
  <c r="I14" i="4" s="1"/>
  <c r="J14" i="4" s="1"/>
  <c r="K14" i="4" s="1"/>
  <c r="L14" i="4" s="1"/>
  <c r="D14" i="4"/>
  <c r="E14" i="4" s="1"/>
  <c r="D7" i="4"/>
  <c r="L38" i="3"/>
  <c r="K38" i="3"/>
  <c r="J38" i="3"/>
  <c r="I38" i="3"/>
  <c r="H38" i="3"/>
  <c r="G38" i="3"/>
  <c r="F38" i="3"/>
  <c r="E38" i="3"/>
  <c r="D38" i="3"/>
  <c r="C38" i="3"/>
  <c r="D34" i="3"/>
  <c r="D21" i="3"/>
  <c r="C21" i="3"/>
  <c r="E19" i="3"/>
  <c r="F19" i="3" s="1"/>
  <c r="G19" i="3" s="1"/>
  <c r="H19" i="3" s="1"/>
  <c r="I19" i="3" s="1"/>
  <c r="J19" i="3" s="1"/>
  <c r="K19" i="3" s="1"/>
  <c r="L19" i="3" s="1"/>
  <c r="D19" i="3"/>
  <c r="M75" i="2"/>
  <c r="F75" i="2"/>
  <c r="E75" i="2"/>
  <c r="V74" i="2"/>
  <c r="U74" i="2"/>
  <c r="T74" i="2"/>
  <c r="S74" i="2"/>
  <c r="R74" i="2"/>
  <c r="Q74" i="2"/>
  <c r="P74" i="2"/>
  <c r="O74" i="2"/>
  <c r="N74" i="2"/>
  <c r="M74" i="2"/>
  <c r="K73" i="2"/>
  <c r="E73" i="2"/>
  <c r="D73" i="2"/>
  <c r="C73" i="2"/>
  <c r="M71" i="2"/>
  <c r="M51" i="2" s="1"/>
  <c r="L71" i="2"/>
  <c r="L72" i="2" s="1"/>
  <c r="L39" i="2" s="1"/>
  <c r="L42" i="2" s="1"/>
  <c r="K65" i="2"/>
  <c r="E65" i="2"/>
  <c r="C65" i="2"/>
  <c r="L62" i="2"/>
  <c r="K62" i="2"/>
  <c r="J62" i="2"/>
  <c r="I62" i="2"/>
  <c r="H62" i="2"/>
  <c r="G62" i="2"/>
  <c r="F62" i="2"/>
  <c r="E62" i="2"/>
  <c r="D62" i="2"/>
  <c r="C62" i="2"/>
  <c r="L61" i="2"/>
  <c r="K61" i="2"/>
  <c r="J61" i="2"/>
  <c r="I61" i="2"/>
  <c r="H61" i="2"/>
  <c r="G61" i="2"/>
  <c r="F61" i="2"/>
  <c r="E61" i="2"/>
  <c r="D61" i="2"/>
  <c r="C61" i="2"/>
  <c r="L60" i="2"/>
  <c r="K60" i="2"/>
  <c r="J60" i="2"/>
  <c r="J37" i="2" s="1"/>
  <c r="I60" i="2"/>
  <c r="H60" i="2"/>
  <c r="H37" i="2" s="1"/>
  <c r="H13" i="2" s="1"/>
  <c r="G60" i="2"/>
  <c r="G37" i="2" s="1"/>
  <c r="G13" i="2" s="1"/>
  <c r="F60" i="2"/>
  <c r="E60" i="2"/>
  <c r="E37" i="2" s="1"/>
  <c r="E13" i="2" s="1"/>
  <c r="D60" i="2"/>
  <c r="C60" i="2"/>
  <c r="M59" i="2"/>
  <c r="M61" i="2" s="1"/>
  <c r="K59" i="2"/>
  <c r="J59" i="2"/>
  <c r="I59" i="2"/>
  <c r="D55" i="2"/>
  <c r="L54" i="2"/>
  <c r="M54" i="2" s="1"/>
  <c r="K54" i="2"/>
  <c r="J54" i="2"/>
  <c r="I54" i="2"/>
  <c r="H54" i="2"/>
  <c r="G54" i="2"/>
  <c r="F54" i="2"/>
  <c r="E54" i="2"/>
  <c r="D54" i="2"/>
  <c r="C54" i="2"/>
  <c r="L53" i="2"/>
  <c r="K53" i="2"/>
  <c r="J53" i="2"/>
  <c r="I53" i="2"/>
  <c r="H53" i="2"/>
  <c r="G53" i="2"/>
  <c r="F53" i="2"/>
  <c r="E53" i="2"/>
  <c r="D53" i="2"/>
  <c r="C53" i="2"/>
  <c r="D52" i="2"/>
  <c r="D66" i="2" s="1"/>
  <c r="L51" i="2"/>
  <c r="L73" i="2" s="1"/>
  <c r="K51" i="2"/>
  <c r="J51" i="2"/>
  <c r="K71" i="2" s="1"/>
  <c r="K72" i="2" s="1"/>
  <c r="K39" i="2" s="1"/>
  <c r="I51" i="2"/>
  <c r="H51" i="2"/>
  <c r="G51" i="2"/>
  <c r="F51" i="2"/>
  <c r="E51" i="2"/>
  <c r="F71" i="2" s="1"/>
  <c r="D51" i="2"/>
  <c r="E71" i="2" s="1"/>
  <c r="C51" i="2"/>
  <c r="L49" i="2"/>
  <c r="L52" i="2" s="1"/>
  <c r="D49" i="2"/>
  <c r="L48" i="2"/>
  <c r="L65" i="2" s="1"/>
  <c r="K48" i="2"/>
  <c r="J48" i="2"/>
  <c r="J65" i="2" s="1"/>
  <c r="I48" i="2"/>
  <c r="I65" i="2" s="1"/>
  <c r="H48" i="2"/>
  <c r="H65" i="2" s="1"/>
  <c r="G48" i="2"/>
  <c r="G65" i="2" s="1"/>
  <c r="F48" i="2"/>
  <c r="F65" i="2" s="1"/>
  <c r="E48" i="2"/>
  <c r="D48" i="2"/>
  <c r="D65" i="2" s="1"/>
  <c r="C48" i="2"/>
  <c r="L47" i="2"/>
  <c r="K47" i="2"/>
  <c r="J47" i="2"/>
  <c r="J49" i="2" s="1"/>
  <c r="J52" i="2" s="1"/>
  <c r="J66" i="2" s="1"/>
  <c r="I47" i="2"/>
  <c r="H47" i="2"/>
  <c r="G47" i="2"/>
  <c r="F47" i="2"/>
  <c r="E47" i="2"/>
  <c r="D47" i="2"/>
  <c r="C47" i="2"/>
  <c r="L46" i="2"/>
  <c r="K46" i="2"/>
  <c r="J46" i="2"/>
  <c r="I46" i="2"/>
  <c r="H46" i="2"/>
  <c r="G46" i="2"/>
  <c r="G49" i="2" s="1"/>
  <c r="G52" i="2" s="1"/>
  <c r="G66" i="2" s="1"/>
  <c r="F46" i="2"/>
  <c r="E46" i="2"/>
  <c r="D46" i="2"/>
  <c r="E59" i="2" s="1"/>
  <c r="C46" i="2"/>
  <c r="L41" i="2"/>
  <c r="K41" i="2"/>
  <c r="L15" i="2" s="1"/>
  <c r="J41" i="2"/>
  <c r="J15" i="2" s="1"/>
  <c r="I41" i="2"/>
  <c r="I15" i="2" s="1"/>
  <c r="H41" i="2"/>
  <c r="G41" i="2"/>
  <c r="G15" i="2" s="1"/>
  <c r="F41" i="2"/>
  <c r="E41" i="2"/>
  <c r="D41" i="2"/>
  <c r="C41" i="2"/>
  <c r="L40" i="2"/>
  <c r="K40" i="2"/>
  <c r="J40" i="2"/>
  <c r="I40" i="2"/>
  <c r="H40" i="2"/>
  <c r="G40" i="2"/>
  <c r="F40" i="2"/>
  <c r="E40" i="2"/>
  <c r="D40" i="2"/>
  <c r="C40" i="2"/>
  <c r="C42" i="2" s="1"/>
  <c r="M39" i="2"/>
  <c r="I38" i="2"/>
  <c r="H38" i="2"/>
  <c r="F38" i="2"/>
  <c r="L37" i="2"/>
  <c r="E27" i="6" s="1"/>
  <c r="K37" i="2"/>
  <c r="D27" i="6" s="1"/>
  <c r="I37" i="2"/>
  <c r="F37" i="2"/>
  <c r="D37" i="2"/>
  <c r="C37" i="2"/>
  <c r="H34" i="2"/>
  <c r="G34" i="2"/>
  <c r="F34" i="2"/>
  <c r="E34" i="2"/>
  <c r="D34" i="2"/>
  <c r="C34" i="2"/>
  <c r="N29" i="2"/>
  <c r="O29" i="2" s="1"/>
  <c r="P29" i="2" s="1"/>
  <c r="Q29" i="2" s="1"/>
  <c r="R29" i="2" s="1"/>
  <c r="S29" i="2" s="1"/>
  <c r="T29" i="2" s="1"/>
  <c r="U29" i="2" s="1"/>
  <c r="V29" i="2" s="1"/>
  <c r="M29" i="2"/>
  <c r="L29" i="2"/>
  <c r="K29" i="2"/>
  <c r="J29" i="2"/>
  <c r="I29" i="2"/>
  <c r="H29" i="2"/>
  <c r="G29" i="2"/>
  <c r="F29" i="2"/>
  <c r="E29" i="2"/>
  <c r="D29" i="2"/>
  <c r="C29" i="2"/>
  <c r="L27" i="2"/>
  <c r="K27" i="2"/>
  <c r="J27" i="2"/>
  <c r="I27" i="2"/>
  <c r="H27" i="2"/>
  <c r="G27" i="2"/>
  <c r="F27" i="2"/>
  <c r="E27" i="2"/>
  <c r="D27" i="2"/>
  <c r="C27" i="2"/>
  <c r="M23" i="2"/>
  <c r="F16" i="6" s="1"/>
  <c r="F18" i="6" s="1"/>
  <c r="L23" i="2"/>
  <c r="E16" i="6" s="1"/>
  <c r="K23" i="2"/>
  <c r="J23" i="2"/>
  <c r="I23" i="2"/>
  <c r="I34" i="2" s="1"/>
  <c r="H23" i="2"/>
  <c r="G23" i="2"/>
  <c r="G11" i="2" s="1"/>
  <c r="F23" i="2"/>
  <c r="E23" i="2"/>
  <c r="D23" i="2"/>
  <c r="C23" i="2"/>
  <c r="L21" i="2"/>
  <c r="K21" i="2"/>
  <c r="J21" i="2"/>
  <c r="I21" i="2"/>
  <c r="H21" i="2"/>
  <c r="H22" i="2" s="1"/>
  <c r="H24" i="2" s="1"/>
  <c r="G21" i="2"/>
  <c r="G9" i="2" s="1"/>
  <c r="F21" i="2"/>
  <c r="F22" i="2" s="1"/>
  <c r="F24" i="2" s="1"/>
  <c r="E21" i="2"/>
  <c r="D21" i="2"/>
  <c r="D9" i="2" s="1"/>
  <c r="C21" i="2"/>
  <c r="H20" i="2"/>
  <c r="G20" i="2"/>
  <c r="F20" i="2"/>
  <c r="M19" i="2"/>
  <c r="M20" i="2" s="1"/>
  <c r="L19" i="2"/>
  <c r="L8" i="2" s="1"/>
  <c r="K19" i="2"/>
  <c r="K8" i="2" s="1"/>
  <c r="J19" i="2"/>
  <c r="I19" i="2"/>
  <c r="H19" i="2"/>
  <c r="G19" i="2"/>
  <c r="G8" i="2" s="1"/>
  <c r="F19" i="2"/>
  <c r="E19" i="2"/>
  <c r="E20" i="2" s="1"/>
  <c r="E22" i="2" s="1"/>
  <c r="E24" i="2" s="1"/>
  <c r="D19" i="2"/>
  <c r="C19" i="2"/>
  <c r="M18" i="2"/>
  <c r="L18" i="2"/>
  <c r="K18" i="2"/>
  <c r="D5" i="6" s="1"/>
  <c r="J18" i="2"/>
  <c r="I18" i="2"/>
  <c r="I20" i="2" s="1"/>
  <c r="I22" i="2" s="1"/>
  <c r="I24" i="2" s="1"/>
  <c r="H18" i="2"/>
  <c r="G18" i="2"/>
  <c r="F18" i="2"/>
  <c r="E18" i="2"/>
  <c r="D18" i="2"/>
  <c r="D20" i="2" s="1"/>
  <c r="D22" i="2" s="1"/>
  <c r="D24" i="2" s="1"/>
  <c r="C18" i="2"/>
  <c r="C20" i="2" s="1"/>
  <c r="C22" i="2" s="1"/>
  <c r="C24" i="2" s="1"/>
  <c r="V15" i="2"/>
  <c r="U15" i="2"/>
  <c r="T15" i="2"/>
  <c r="S15" i="2"/>
  <c r="R15" i="2"/>
  <c r="Q15" i="2"/>
  <c r="P15" i="2"/>
  <c r="O15" i="2"/>
  <c r="N15" i="2"/>
  <c r="M15" i="2"/>
  <c r="M41" i="2" s="1"/>
  <c r="N41" i="2" s="1"/>
  <c r="O41" i="2" s="1"/>
  <c r="P41" i="2" s="1"/>
  <c r="Q41" i="2" s="1"/>
  <c r="R41" i="2" s="1"/>
  <c r="S41" i="2" s="1"/>
  <c r="T41" i="2" s="1"/>
  <c r="U41" i="2" s="1"/>
  <c r="V41" i="2" s="1"/>
  <c r="H15" i="2"/>
  <c r="F15" i="2"/>
  <c r="E15" i="2"/>
  <c r="D15" i="2"/>
  <c r="L14" i="2"/>
  <c r="K14" i="2"/>
  <c r="J14" i="2"/>
  <c r="I14" i="2"/>
  <c r="H14" i="2"/>
  <c r="H74" i="2" s="1"/>
  <c r="G14" i="2"/>
  <c r="F14" i="2"/>
  <c r="F74" i="2" s="1"/>
  <c r="E14" i="2"/>
  <c r="E74" i="2" s="1"/>
  <c r="D14" i="2"/>
  <c r="D74" i="2" s="1"/>
  <c r="C14" i="2"/>
  <c r="C74" i="2" s="1"/>
  <c r="L13" i="2"/>
  <c r="K13" i="2"/>
  <c r="J13" i="2"/>
  <c r="I13" i="2"/>
  <c r="F13" i="2"/>
  <c r="J11" i="2"/>
  <c r="I11" i="2"/>
  <c r="F11" i="2"/>
  <c r="E11" i="2"/>
  <c r="D11" i="2"/>
  <c r="L10" i="2"/>
  <c r="K10" i="2"/>
  <c r="J10" i="2"/>
  <c r="I10" i="2"/>
  <c r="H10" i="2"/>
  <c r="G10" i="2"/>
  <c r="F10" i="2"/>
  <c r="E10" i="2"/>
  <c r="D10" i="2"/>
  <c r="C10" i="2"/>
  <c r="I9" i="2"/>
  <c r="H9" i="2"/>
  <c r="E9" i="2"/>
  <c r="C9" i="2"/>
  <c r="I8" i="2"/>
  <c r="H8" i="2"/>
  <c r="F8" i="2"/>
  <c r="E8" i="2"/>
  <c r="D8" i="2"/>
  <c r="C8" i="2"/>
  <c r="L7" i="2"/>
  <c r="E6" i="6" s="1"/>
  <c r="I7" i="2"/>
  <c r="H7" i="2"/>
  <c r="F7" i="2"/>
  <c r="E21" i="1"/>
  <c r="D21" i="1"/>
  <c r="E20" i="1"/>
  <c r="D20" i="1"/>
  <c r="E15" i="1"/>
  <c r="D15" i="1"/>
  <c r="C15" i="1"/>
  <c r="G14" i="1"/>
  <c r="F14" i="1"/>
  <c r="F21" i="1" s="1"/>
  <c r="E12" i="1"/>
  <c r="C9" i="1"/>
  <c r="H25" i="2" l="1"/>
  <c r="H26" i="2"/>
  <c r="H28" i="2" s="1"/>
  <c r="H30" i="2" s="1"/>
  <c r="H33" i="2" s="1"/>
  <c r="E25" i="2"/>
  <c r="E26" i="2"/>
  <c r="F25" i="2"/>
  <c r="F26" i="2"/>
  <c r="D25" i="2"/>
  <c r="D26" i="2"/>
  <c r="D28" i="2" s="1"/>
  <c r="D30" i="2" s="1"/>
  <c r="D33" i="2" s="1"/>
  <c r="D53" i="5"/>
  <c r="C68" i="5"/>
  <c r="D22" i="6"/>
  <c r="D23" i="6"/>
  <c r="D21" i="6"/>
  <c r="C25" i="2"/>
  <c r="C26" i="2" s="1"/>
  <c r="M22" i="2"/>
  <c r="J67" i="2"/>
  <c r="K68" i="2" s="1"/>
  <c r="K35" i="2" s="1"/>
  <c r="D24" i="6" s="1"/>
  <c r="N30" i="5"/>
  <c r="L30" i="5"/>
  <c r="M30" i="5" s="1"/>
  <c r="J74" i="2"/>
  <c r="M52" i="2"/>
  <c r="M66" i="2" s="1"/>
  <c r="M48" i="2"/>
  <c r="M65" i="2" s="1"/>
  <c r="M67" i="2" s="1"/>
  <c r="F5" i="6"/>
  <c r="M21" i="2"/>
  <c r="C13" i="2"/>
  <c r="C38" i="2"/>
  <c r="G67" i="2"/>
  <c r="K75" i="2"/>
  <c r="K74" i="2"/>
  <c r="N18" i="2"/>
  <c r="J8" i="2"/>
  <c r="C16" i="6"/>
  <c r="J34" i="2"/>
  <c r="M25" i="2"/>
  <c r="D13" i="2"/>
  <c r="D38" i="2"/>
  <c r="G38" i="2"/>
  <c r="F59" i="2"/>
  <c r="E49" i="2"/>
  <c r="E52" i="2" s="1"/>
  <c r="E66" i="2" s="1"/>
  <c r="E67" i="2" s="1"/>
  <c r="H67" i="2"/>
  <c r="M60" i="2"/>
  <c r="L75" i="2"/>
  <c r="L74" i="2"/>
  <c r="F9" i="2"/>
  <c r="D28" i="4"/>
  <c r="C15" i="4"/>
  <c r="F73" i="2"/>
  <c r="G71" i="2"/>
  <c r="G75" i="2" s="1"/>
  <c r="F72" i="2"/>
  <c r="F39" i="2" s="1"/>
  <c r="F42" i="2" s="1"/>
  <c r="G22" i="2"/>
  <c r="G24" i="2" s="1"/>
  <c r="N32" i="5"/>
  <c r="C55" i="5" s="1"/>
  <c r="G21" i="1"/>
  <c r="F12" i="1"/>
  <c r="D7" i="2"/>
  <c r="K15" i="2"/>
  <c r="K20" i="2"/>
  <c r="K22" i="2" s="1"/>
  <c r="K9" i="2"/>
  <c r="K7" i="2"/>
  <c r="D6" i="6" s="1"/>
  <c r="D12" i="1"/>
  <c r="I73" i="2"/>
  <c r="I55" i="2"/>
  <c r="J71" i="2"/>
  <c r="J72" i="2" s="1"/>
  <c r="J39" i="2" s="1"/>
  <c r="J42" i="2" s="1"/>
  <c r="N71" i="2"/>
  <c r="M73" i="2"/>
  <c r="M47" i="5"/>
  <c r="K34" i="2"/>
  <c r="K11" i="2"/>
  <c r="D16" i="6"/>
  <c r="G59" i="2"/>
  <c r="F49" i="2"/>
  <c r="F52" i="2" s="1"/>
  <c r="N24" i="5"/>
  <c r="L24" i="5"/>
  <c r="M24" i="5" s="1"/>
  <c r="M32" i="5" s="1"/>
  <c r="C54" i="5" s="1"/>
  <c r="E54" i="5" s="1"/>
  <c r="F54" i="5" s="1"/>
  <c r="G72" i="2"/>
  <c r="G39" i="2" s="1"/>
  <c r="G42" i="2" s="1"/>
  <c r="H71" i="2"/>
  <c r="G73" i="2"/>
  <c r="G55" i="2"/>
  <c r="H59" i="2"/>
  <c r="C5" i="6"/>
  <c r="J7" i="2"/>
  <c r="C6" i="6" s="1"/>
  <c r="C12" i="1"/>
  <c r="J20" i="2"/>
  <c r="J22" i="2" s="1"/>
  <c r="J9" i="2"/>
  <c r="H73" i="2"/>
  <c r="H55" i="2"/>
  <c r="H72" i="2"/>
  <c r="H39" i="2" s="1"/>
  <c r="H42" i="2" s="1"/>
  <c r="I71" i="2"/>
  <c r="I75" i="2" s="1"/>
  <c r="E7" i="2"/>
  <c r="I74" i="2"/>
  <c r="E5" i="6"/>
  <c r="L9" i="2"/>
  <c r="L20" i="2"/>
  <c r="L22" i="2" s="1"/>
  <c r="H11" i="2"/>
  <c r="E38" i="2"/>
  <c r="L66" i="2"/>
  <c r="L55" i="2"/>
  <c r="K42" i="2"/>
  <c r="I25" i="2"/>
  <c r="I26" i="2" s="1"/>
  <c r="M42" i="2"/>
  <c r="E18" i="6"/>
  <c r="E17" i="6"/>
  <c r="H49" i="2"/>
  <c r="H52" i="2" s="1"/>
  <c r="H66" i="2" s="1"/>
  <c r="D16" i="1"/>
  <c r="J73" i="2"/>
  <c r="J55" i="2"/>
  <c r="F30" i="8"/>
  <c r="D47" i="8" s="1"/>
  <c r="D60" i="8"/>
  <c r="E60" i="8" s="1"/>
  <c r="C60" i="8"/>
  <c r="L27" i="5"/>
  <c r="M27" i="5" s="1"/>
  <c r="G7" i="2"/>
  <c r="M34" i="2"/>
  <c r="L47" i="5"/>
  <c r="D54" i="5" s="1"/>
  <c r="L11" i="2"/>
  <c r="L34" i="2"/>
  <c r="I49" i="2"/>
  <c r="I52" i="2" s="1"/>
  <c r="I66" i="2" s="1"/>
  <c r="I67" i="2" s="1"/>
  <c r="J68" i="2" s="1"/>
  <c r="J35" i="2" s="1"/>
  <c r="G74" i="2"/>
  <c r="E21" i="3"/>
  <c r="L59" i="2"/>
  <c r="K49" i="2"/>
  <c r="K52" i="2" s="1"/>
  <c r="K66" i="2" s="1"/>
  <c r="K67" i="2" s="1"/>
  <c r="C27" i="6"/>
  <c r="J38" i="2"/>
  <c r="K38" i="2"/>
  <c r="D59" i="2"/>
  <c r="C49" i="2"/>
  <c r="C52" i="2" s="1"/>
  <c r="C66" i="2" s="1"/>
  <c r="C67" i="2" s="1"/>
  <c r="D68" i="2" s="1"/>
  <c r="D35" i="2" s="1"/>
  <c r="E32" i="5"/>
  <c r="L26" i="5"/>
  <c r="M26" i="5" s="1"/>
  <c r="N26" i="5"/>
  <c r="L38" i="2"/>
  <c r="D67" i="2"/>
  <c r="L67" i="2"/>
  <c r="K55" i="2"/>
  <c r="H75" i="2"/>
  <c r="D71" i="2"/>
  <c r="D72" i="2" s="1"/>
  <c r="D39" i="2" s="1"/>
  <c r="D42" i="2" s="1"/>
  <c r="E72" i="2"/>
  <c r="E39" i="2" s="1"/>
  <c r="E42" i="2" s="1"/>
  <c r="C28" i="2" l="1"/>
  <c r="C30" i="2" s="1"/>
  <c r="C33" i="2" s="1"/>
  <c r="C36" i="2" s="1"/>
  <c r="C12" i="2"/>
  <c r="I28" i="2"/>
  <c r="I30" i="2" s="1"/>
  <c r="I33" i="2" s="1"/>
  <c r="I36" i="2" s="1"/>
  <c r="I12" i="2"/>
  <c r="C59" i="8"/>
  <c r="D59" i="8"/>
  <c r="E59" i="8" s="1"/>
  <c r="D51" i="8"/>
  <c r="L68" i="2"/>
  <c r="L35" i="2" s="1"/>
  <c r="C18" i="6"/>
  <c r="C17" i="6"/>
  <c r="D36" i="2"/>
  <c r="E55" i="2"/>
  <c r="D75" i="2"/>
  <c r="M62" i="2"/>
  <c r="M46" i="2" s="1"/>
  <c r="M37" i="2"/>
  <c r="F23" i="6"/>
  <c r="F22" i="6"/>
  <c r="F21" i="6"/>
  <c r="D57" i="5"/>
  <c r="I68" i="2"/>
  <c r="I35" i="2" s="1"/>
  <c r="F8" i="6"/>
  <c r="F9" i="6" s="1"/>
  <c r="M24" i="2"/>
  <c r="M68" i="2"/>
  <c r="M35" i="2" s="1"/>
  <c r="F24" i="6" s="1"/>
  <c r="E23" i="6"/>
  <c r="E22" i="6"/>
  <c r="E21" i="6"/>
  <c r="H68" i="2"/>
  <c r="H35" i="2" s="1"/>
  <c r="E28" i="2"/>
  <c r="E30" i="2" s="1"/>
  <c r="E33" i="2" s="1"/>
  <c r="E12" i="2"/>
  <c r="N60" i="2"/>
  <c r="G5" i="6"/>
  <c r="N48" i="2"/>
  <c r="N65" i="2" s="1"/>
  <c r="N52" i="2"/>
  <c r="N66" i="2" s="1"/>
  <c r="O18" i="2"/>
  <c r="N21" i="2"/>
  <c r="G12" i="1"/>
  <c r="N25" i="2"/>
  <c r="N19" i="2"/>
  <c r="N20" i="2" s="1"/>
  <c r="N22" i="2" s="1"/>
  <c r="C17" i="4"/>
  <c r="C21" i="4"/>
  <c r="D25" i="6"/>
  <c r="C55" i="2"/>
  <c r="F66" i="2"/>
  <c r="F67" i="2" s="1"/>
  <c r="G68" i="2" s="1"/>
  <c r="G35" i="2" s="1"/>
  <c r="F55" i="2"/>
  <c r="I72" i="2"/>
  <c r="I39" i="2" s="1"/>
  <c r="I42" i="2" s="1"/>
  <c r="C8" i="6"/>
  <c r="C9" i="6" s="1"/>
  <c r="C16" i="1"/>
  <c r="J24" i="2"/>
  <c r="D12" i="2"/>
  <c r="E68" i="2"/>
  <c r="E35" i="2" s="1"/>
  <c r="G25" i="2"/>
  <c r="G26" i="2"/>
  <c r="C63" i="5"/>
  <c r="C53" i="5"/>
  <c r="C67" i="5"/>
  <c r="F21" i="3"/>
  <c r="E19" i="4"/>
  <c r="H14" i="1"/>
  <c r="H21" i="1" s="1"/>
  <c r="E8" i="6"/>
  <c r="E9" i="6" s="1"/>
  <c r="E16" i="1"/>
  <c r="L24" i="2"/>
  <c r="J75" i="2"/>
  <c r="F28" i="2"/>
  <c r="F30" i="2" s="1"/>
  <c r="F33" i="2" s="1"/>
  <c r="F12" i="2"/>
  <c r="N75" i="2"/>
  <c r="H36" i="2"/>
  <c r="C23" i="6"/>
  <c r="C22" i="6"/>
  <c r="C21" i="6"/>
  <c r="C24" i="6" s="1"/>
  <c r="D18" i="6"/>
  <c r="D17" i="6"/>
  <c r="D8" i="6"/>
  <c r="D9" i="6" s="1"/>
  <c r="K24" i="2"/>
  <c r="H12" i="2"/>
  <c r="G8" i="6" l="1"/>
  <c r="G9" i="6" s="1"/>
  <c r="E24" i="6"/>
  <c r="E25" i="6" s="1"/>
  <c r="C57" i="5"/>
  <c r="E57" i="5" s="1"/>
  <c r="F57" i="5" s="1"/>
  <c r="E53" i="5"/>
  <c r="F53" i="5" s="1"/>
  <c r="C61" i="8"/>
  <c r="D54" i="8"/>
  <c r="C25" i="6"/>
  <c r="E11" i="6"/>
  <c r="L25" i="2"/>
  <c r="L26" i="2" s="1"/>
  <c r="O52" i="2"/>
  <c r="O66" i="2" s="1"/>
  <c r="O48" i="2"/>
  <c r="O65" i="2" s="1"/>
  <c r="O67" i="2" s="1"/>
  <c r="H12" i="1"/>
  <c r="P18" i="2"/>
  <c r="H5" i="6"/>
  <c r="O19" i="2"/>
  <c r="O20" i="2" s="1"/>
  <c r="O22" i="2" s="1"/>
  <c r="O60" i="2"/>
  <c r="O21" i="2"/>
  <c r="F27" i="6"/>
  <c r="M38" i="2"/>
  <c r="F15" i="1"/>
  <c r="N67" i="2"/>
  <c r="G23" i="6"/>
  <c r="G22" i="6"/>
  <c r="G21" i="6"/>
  <c r="N37" i="2"/>
  <c r="I77" i="2"/>
  <c r="I43" i="2"/>
  <c r="C11" i="6"/>
  <c r="J25" i="2"/>
  <c r="J26" i="2" s="1"/>
  <c r="K25" i="2"/>
  <c r="K26" i="2" s="1"/>
  <c r="D11" i="6"/>
  <c r="C77" i="2"/>
  <c r="C43" i="2"/>
  <c r="G28" i="2"/>
  <c r="G30" i="2" s="1"/>
  <c r="G33" i="2" s="1"/>
  <c r="G36" i="2" s="1"/>
  <c r="G12" i="2"/>
  <c r="N59" i="2"/>
  <c r="N23" i="2"/>
  <c r="M26" i="2"/>
  <c r="F11" i="6"/>
  <c r="H43" i="2"/>
  <c r="H77" i="2"/>
  <c r="D15" i="4"/>
  <c r="C9" i="4"/>
  <c r="C62" i="5"/>
  <c r="C18" i="4"/>
  <c r="C39" i="3" s="1"/>
  <c r="C40" i="3"/>
  <c r="F13" i="1"/>
  <c r="F20" i="1" s="1"/>
  <c r="D43" i="2"/>
  <c r="D77" i="2"/>
  <c r="E36" i="2"/>
  <c r="F36" i="2"/>
  <c r="F19" i="4"/>
  <c r="I14" i="1"/>
  <c r="I21" i="1" s="1"/>
  <c r="G21" i="3"/>
  <c r="F25" i="6"/>
  <c r="F68" i="2"/>
  <c r="F35" i="2" s="1"/>
  <c r="K28" i="2" l="1"/>
  <c r="K30" i="2" s="1"/>
  <c r="K12" i="2"/>
  <c r="D17" i="1" s="1"/>
  <c r="J28" i="2"/>
  <c r="J30" i="2" s="1"/>
  <c r="J12" i="2"/>
  <c r="C17" i="1" s="1"/>
  <c r="L28" i="2"/>
  <c r="L30" i="2" s="1"/>
  <c r="L12" i="2"/>
  <c r="E17" i="1" s="1"/>
  <c r="H8" i="6"/>
  <c r="H9" i="6" s="1"/>
  <c r="F14" i="6"/>
  <c r="F19" i="6" s="1"/>
  <c r="F28" i="6" s="1"/>
  <c r="F12" i="6"/>
  <c r="M27" i="2"/>
  <c r="M28" i="2"/>
  <c r="M30" i="2" s="1"/>
  <c r="E12" i="6"/>
  <c r="H21" i="3"/>
  <c r="G19" i="4"/>
  <c r="J14" i="1"/>
  <c r="J21" i="1" s="1"/>
  <c r="G16" i="6"/>
  <c r="N34" i="2"/>
  <c r="H23" i="6"/>
  <c r="H22" i="6"/>
  <c r="H21" i="6"/>
  <c r="C64" i="5"/>
  <c r="C66" i="5"/>
  <c r="N61" i="2"/>
  <c r="N62" i="2" s="1"/>
  <c r="N46" i="2" s="1"/>
  <c r="O68" i="2"/>
  <c r="O35" i="2" s="1"/>
  <c r="H24" i="6" s="1"/>
  <c r="N68" i="2"/>
  <c r="N35" i="2" s="1"/>
  <c r="G24" i="6" s="1"/>
  <c r="G25" i="6" s="1"/>
  <c r="F59" i="5"/>
  <c r="C7" i="1"/>
  <c r="G77" i="2"/>
  <c r="G43" i="2"/>
  <c r="E77" i="2"/>
  <c r="E43" i="2"/>
  <c r="N24" i="2"/>
  <c r="D61" i="8"/>
  <c r="E61" i="8" s="1"/>
  <c r="D8" i="3"/>
  <c r="P60" i="2"/>
  <c r="I5" i="6"/>
  <c r="P48" i="2"/>
  <c r="P65" i="2" s="1"/>
  <c r="P19" i="2"/>
  <c r="Q18" i="2"/>
  <c r="P52" i="2"/>
  <c r="P66" i="2" s="1"/>
  <c r="P20" i="2"/>
  <c r="P21" i="2"/>
  <c r="I12" i="1"/>
  <c r="F43" i="2"/>
  <c r="F77" i="2"/>
  <c r="D17" i="4"/>
  <c r="C14" i="6"/>
  <c r="C19" i="6" s="1"/>
  <c r="C28" i="6" s="1"/>
  <c r="C12" i="6"/>
  <c r="D14" i="6"/>
  <c r="D19" i="6" s="1"/>
  <c r="D28" i="6" s="1"/>
  <c r="D12" i="6"/>
  <c r="G27" i="6"/>
  <c r="N38" i="2"/>
  <c r="G15" i="1"/>
  <c r="O37" i="2"/>
  <c r="O59" i="2" l="1"/>
  <c r="O23" i="2"/>
  <c r="G18" i="6"/>
  <c r="G17" i="6"/>
  <c r="G11" i="6"/>
  <c r="N26" i="2"/>
  <c r="J5" i="6"/>
  <c r="R18" i="2"/>
  <c r="Q19" i="2"/>
  <c r="Q52" i="2"/>
  <c r="Q66" i="2" s="1"/>
  <c r="Q48" i="2"/>
  <c r="Q65" i="2" s="1"/>
  <c r="Q67" i="2" s="1"/>
  <c r="Q21" i="2"/>
  <c r="Q20" i="2"/>
  <c r="Q22" i="2" s="1"/>
  <c r="Q60" i="2"/>
  <c r="J12" i="1"/>
  <c r="D18" i="4"/>
  <c r="D39" i="3" s="1"/>
  <c r="G13" i="1"/>
  <c r="G20" i="1" s="1"/>
  <c r="D40" i="3"/>
  <c r="P67" i="2"/>
  <c r="C8" i="8"/>
  <c r="D9" i="3"/>
  <c r="P22" i="2"/>
  <c r="H19" i="4"/>
  <c r="I21" i="3"/>
  <c r="K14" i="1"/>
  <c r="K21" i="1" s="1"/>
  <c r="E19" i="1"/>
  <c r="L33" i="2"/>
  <c r="L36" i="2" s="1"/>
  <c r="H25" i="6"/>
  <c r="H27" i="6"/>
  <c r="O38" i="2"/>
  <c r="H15" i="1"/>
  <c r="D21" i="4"/>
  <c r="E14" i="6"/>
  <c r="E19" i="6" s="1"/>
  <c r="E28" i="6" s="1"/>
  <c r="J33" i="2"/>
  <c r="J36" i="2" s="1"/>
  <c r="C19" i="1"/>
  <c r="I21" i="6"/>
  <c r="I23" i="6"/>
  <c r="I22" i="6"/>
  <c r="F19" i="1"/>
  <c r="M33" i="2"/>
  <c r="M36" i="2" s="1"/>
  <c r="C38" i="4"/>
  <c r="C39" i="4" s="1"/>
  <c r="M53" i="2"/>
  <c r="P37" i="2"/>
  <c r="D19" i="1"/>
  <c r="K33" i="2"/>
  <c r="K36" i="2" s="1"/>
  <c r="I8" i="6" l="1"/>
  <c r="I9" i="6" s="1"/>
  <c r="S18" i="2"/>
  <c r="K5" i="6"/>
  <c r="R19" i="2"/>
  <c r="R20" i="2" s="1"/>
  <c r="R22" i="2" s="1"/>
  <c r="R48" i="2"/>
  <c r="R65" i="2" s="1"/>
  <c r="R67" i="2" s="1"/>
  <c r="R52" i="2"/>
  <c r="R66" i="2" s="1"/>
  <c r="R21" i="2"/>
  <c r="K12" i="1"/>
  <c r="R60" i="2"/>
  <c r="J21" i="6"/>
  <c r="J22" i="6"/>
  <c r="J23" i="6"/>
  <c r="I15" i="1"/>
  <c r="P38" i="2"/>
  <c r="I27" i="6"/>
  <c r="E15" i="4"/>
  <c r="D9" i="4"/>
  <c r="N27" i="2"/>
  <c r="N28" i="2" s="1"/>
  <c r="N30" i="2" s="1"/>
  <c r="G14" i="6"/>
  <c r="G19" i="6" s="1"/>
  <c r="G28" i="6" s="1"/>
  <c r="G12" i="6"/>
  <c r="J8" i="6"/>
  <c r="J9" i="6" s="1"/>
  <c r="I19" i="4"/>
  <c r="J21" i="3"/>
  <c r="L14" i="1"/>
  <c r="L21" i="1" s="1"/>
  <c r="Q37" i="2"/>
  <c r="M43" i="2"/>
  <c r="M47" i="2" s="1"/>
  <c r="M77" i="2"/>
  <c r="J43" i="2"/>
  <c r="J77" i="2"/>
  <c r="H22" i="3"/>
  <c r="H23" i="3" s="1"/>
  <c r="F22" i="3"/>
  <c r="F23" i="3" s="1"/>
  <c r="J22" i="3"/>
  <c r="D22" i="3"/>
  <c r="D23" i="3" s="1"/>
  <c r="D18" i="1"/>
  <c r="D6" i="4"/>
  <c r="G22" i="3"/>
  <c r="G23" i="3" s="1"/>
  <c r="E22" i="3"/>
  <c r="E23" i="3" s="1"/>
  <c r="E18" i="1"/>
  <c r="K22" i="3"/>
  <c r="I22" i="3"/>
  <c r="I23" i="3" s="1"/>
  <c r="C22" i="3"/>
  <c r="C23" i="3" s="1"/>
  <c r="L22" i="3"/>
  <c r="C9" i="8"/>
  <c r="C18" i="1"/>
  <c r="L43" i="2"/>
  <c r="L77" i="2"/>
  <c r="Q68" i="2"/>
  <c r="Q35" i="2" s="1"/>
  <c r="J24" i="6" s="1"/>
  <c r="P68" i="2"/>
  <c r="P35" i="2" s="1"/>
  <c r="I24" i="6" s="1"/>
  <c r="I25" i="6" s="1"/>
  <c r="H16" i="6"/>
  <c r="O34" i="2"/>
  <c r="O24" i="2"/>
  <c r="F18" i="1"/>
  <c r="M55" i="2"/>
  <c r="F17" i="1"/>
  <c r="K77" i="2"/>
  <c r="K43" i="2"/>
  <c r="O61" i="2"/>
  <c r="O62" i="2" s="1"/>
  <c r="O46" i="2" s="1"/>
  <c r="N33" i="2" l="1"/>
  <c r="N36" i="2" s="1"/>
  <c r="G19" i="1"/>
  <c r="N53" i="2"/>
  <c r="P59" i="2"/>
  <c r="P23" i="2"/>
  <c r="K8" i="6"/>
  <c r="K9" i="6" s="1"/>
  <c r="H11" i="6"/>
  <c r="E17" i="4"/>
  <c r="E21" i="4" s="1"/>
  <c r="H18" i="6"/>
  <c r="H17" i="6"/>
  <c r="J23" i="3"/>
  <c r="K21" i="3"/>
  <c r="J19" i="4"/>
  <c r="K21" i="6"/>
  <c r="K23" i="6"/>
  <c r="K22" i="6"/>
  <c r="S52" i="2"/>
  <c r="S66" i="2" s="1"/>
  <c r="S21" i="2"/>
  <c r="S19" i="2"/>
  <c r="S20" i="2" s="1"/>
  <c r="S22" i="2" s="1"/>
  <c r="S48" i="2"/>
  <c r="S65" i="2" s="1"/>
  <c r="S67" i="2" s="1"/>
  <c r="L12" i="1"/>
  <c r="L5" i="6"/>
  <c r="S60" i="2"/>
  <c r="T18" i="2"/>
  <c r="I24" i="4"/>
  <c r="G24" i="4"/>
  <c r="K24" i="4"/>
  <c r="H24" i="4"/>
  <c r="L24" i="4"/>
  <c r="C22" i="4"/>
  <c r="C23" i="4" s="1"/>
  <c r="J24" i="4"/>
  <c r="D24" i="4"/>
  <c r="E22" i="4"/>
  <c r="C24" i="4"/>
  <c r="D22" i="4"/>
  <c r="D23" i="4" s="1"/>
  <c r="D25" i="4" s="1"/>
  <c r="F24" i="4"/>
  <c r="E24" i="4"/>
  <c r="J25" i="6"/>
  <c r="F16" i="1"/>
  <c r="N72" i="2"/>
  <c r="M49" i="2"/>
  <c r="R68" i="2"/>
  <c r="R35" i="2" s="1"/>
  <c r="K24" i="6" s="1"/>
  <c r="J15" i="1"/>
  <c r="J27" i="6"/>
  <c r="Q38" i="2"/>
  <c r="R37" i="2"/>
  <c r="L8" i="6" l="1"/>
  <c r="L9" i="6" s="1"/>
  <c r="F15" i="4"/>
  <c r="E9" i="4"/>
  <c r="K19" i="4"/>
  <c r="K23" i="3"/>
  <c r="L21" i="3"/>
  <c r="H14" i="6"/>
  <c r="H19" i="6" s="1"/>
  <c r="H28" i="6" s="1"/>
  <c r="H12" i="6"/>
  <c r="P61" i="2"/>
  <c r="P62" i="2" s="1"/>
  <c r="P46" i="2" s="1"/>
  <c r="S68" i="2"/>
  <c r="S35" i="2" s="1"/>
  <c r="C25" i="4"/>
  <c r="N43" i="2"/>
  <c r="N47" i="2" s="1"/>
  <c r="N77" i="2"/>
  <c r="N40" i="2"/>
  <c r="N54" i="2" s="1"/>
  <c r="I16" i="6"/>
  <c r="P34" i="2"/>
  <c r="P24" i="2"/>
  <c r="E23" i="4"/>
  <c r="E25" i="4" s="1"/>
  <c r="E18" i="4"/>
  <c r="E39" i="3" s="1"/>
  <c r="H13" i="1"/>
  <c r="H20" i="1" s="1"/>
  <c r="E40" i="3"/>
  <c r="T52" i="2"/>
  <c r="T66" i="2" s="1"/>
  <c r="T19" i="2"/>
  <c r="T60" i="2"/>
  <c r="T20" i="2"/>
  <c r="T21" i="2"/>
  <c r="T48" i="2"/>
  <c r="T65" i="2" s="1"/>
  <c r="U18" i="2"/>
  <c r="K15" i="1"/>
  <c r="K27" i="6"/>
  <c r="R38" i="2"/>
  <c r="N39" i="2"/>
  <c r="N42" i="2" s="1"/>
  <c r="N51" i="2"/>
  <c r="S37" i="2"/>
  <c r="K25" i="6"/>
  <c r="L22" i="6"/>
  <c r="L21" i="6"/>
  <c r="L23" i="6"/>
  <c r="D38" i="4"/>
  <c r="D39" i="4" s="1"/>
  <c r="Q59" i="2" l="1"/>
  <c r="Q23" i="2"/>
  <c r="N49" i="2"/>
  <c r="L25" i="6"/>
  <c r="L23" i="3"/>
  <c r="D31" i="3" s="1"/>
  <c r="D33" i="3" s="1"/>
  <c r="D27" i="3"/>
  <c r="D28" i="3" s="1"/>
  <c r="D32" i="3" s="1"/>
  <c r="D26" i="3"/>
  <c r="L19" i="4"/>
  <c r="G18" i="1"/>
  <c r="T67" i="2"/>
  <c r="U52" i="2"/>
  <c r="U66" i="2" s="1"/>
  <c r="U48" i="2"/>
  <c r="U65" i="2" s="1"/>
  <c r="U67" i="2" s="1"/>
  <c r="U60" i="2"/>
  <c r="U21" i="2"/>
  <c r="U19" i="2"/>
  <c r="U20" i="2" s="1"/>
  <c r="U22" i="2" s="1"/>
  <c r="V18" i="2"/>
  <c r="L24" i="6"/>
  <c r="F17" i="4"/>
  <c r="F22" i="4"/>
  <c r="T22" i="2"/>
  <c r="I11" i="6"/>
  <c r="L27" i="6"/>
  <c r="L15" i="1"/>
  <c r="S38" i="2"/>
  <c r="T37" i="2"/>
  <c r="T38" i="2" s="1"/>
  <c r="N55" i="2"/>
  <c r="N73" i="2"/>
  <c r="O71" i="2"/>
  <c r="G16" i="1"/>
  <c r="O25" i="2"/>
  <c r="O26" i="2" s="1"/>
  <c r="G17" i="1"/>
  <c r="I18" i="6"/>
  <c r="I17" i="6"/>
  <c r="D35" i="3" l="1"/>
  <c r="C6" i="1"/>
  <c r="U37" i="2"/>
  <c r="U38" i="2" s="1"/>
  <c r="I12" i="6"/>
  <c r="I14" i="6"/>
  <c r="I19" i="6" s="1"/>
  <c r="I28" i="6" s="1"/>
  <c r="F23" i="4"/>
  <c r="F25" i="4" s="1"/>
  <c r="F18" i="4"/>
  <c r="F39" i="3" s="1"/>
  <c r="I13" i="1"/>
  <c r="I20" i="1" s="1"/>
  <c r="F40" i="3"/>
  <c r="U68" i="2"/>
  <c r="U35" i="2" s="1"/>
  <c r="T68" i="2"/>
  <c r="T35" i="2" s="1"/>
  <c r="O75" i="2"/>
  <c r="O72" i="2"/>
  <c r="O39" i="2" s="1"/>
  <c r="F21" i="4"/>
  <c r="V60" i="2"/>
  <c r="V52" i="2"/>
  <c r="V66" i="2" s="1"/>
  <c r="V48" i="2"/>
  <c r="V65" i="2" s="1"/>
  <c r="V67" i="2" s="1"/>
  <c r="V68" i="2" s="1"/>
  <c r="V35" i="2" s="1"/>
  <c r="V21" i="2"/>
  <c r="V19" i="2"/>
  <c r="V20" i="2" s="1"/>
  <c r="V22" i="2" s="1"/>
  <c r="J16" i="6"/>
  <c r="Q34" i="2"/>
  <c r="Q24" i="2"/>
  <c r="O27" i="2"/>
  <c r="O28" i="2"/>
  <c r="O30" i="2" s="1"/>
  <c r="Q61" i="2"/>
  <c r="Q62" i="2" s="1"/>
  <c r="Q46" i="2" s="1"/>
  <c r="R59" i="2" l="1"/>
  <c r="R23" i="2"/>
  <c r="H19" i="1"/>
  <c r="O33" i="2"/>
  <c r="O36" i="2" s="1"/>
  <c r="O53" i="2"/>
  <c r="V37" i="2"/>
  <c r="V38" i="2" s="1"/>
  <c r="J11" i="6"/>
  <c r="J17" i="6"/>
  <c r="J18" i="6"/>
  <c r="O51" i="2"/>
  <c r="G15" i="4"/>
  <c r="F9" i="4"/>
  <c r="O77" i="2" l="1"/>
  <c r="O40" i="2"/>
  <c r="G17" i="4"/>
  <c r="G22" i="4"/>
  <c r="K16" i="6"/>
  <c r="R34" i="2"/>
  <c r="R24" i="2"/>
  <c r="P71" i="2"/>
  <c r="O73" i="2"/>
  <c r="P25" i="2"/>
  <c r="P26" i="2" s="1"/>
  <c r="E38" i="4"/>
  <c r="E39" i="4" s="1"/>
  <c r="J14" i="6"/>
  <c r="J19" i="6" s="1"/>
  <c r="J28" i="6" s="1"/>
  <c r="J12" i="6"/>
  <c r="R61" i="2"/>
  <c r="R62" i="2" s="1"/>
  <c r="R46" i="2" s="1"/>
  <c r="S23" i="2" l="1"/>
  <c r="S59" i="2"/>
  <c r="K18" i="6"/>
  <c r="K17" i="6"/>
  <c r="P27" i="2"/>
  <c r="P28" i="2" s="1"/>
  <c r="P30" i="2" s="1"/>
  <c r="G23" i="4"/>
  <c r="G25" i="4" s="1"/>
  <c r="G18" i="4"/>
  <c r="G39" i="3" s="1"/>
  <c r="J13" i="1"/>
  <c r="J20" i="1" s="1"/>
  <c r="G40" i="3"/>
  <c r="G21" i="4"/>
  <c r="O54" i="2"/>
  <c r="O42" i="2"/>
  <c r="O43" i="2" s="1"/>
  <c r="O47" i="2" s="1"/>
  <c r="P75" i="2"/>
  <c r="P72" i="2"/>
  <c r="P39" i="2" s="1"/>
  <c r="K11" i="6"/>
  <c r="I19" i="1" l="1"/>
  <c r="P33" i="2"/>
  <c r="P36" i="2" s="1"/>
  <c r="P53" i="2"/>
  <c r="P51" i="2"/>
  <c r="H15" i="4"/>
  <c r="G9" i="4"/>
  <c r="S61" i="2"/>
  <c r="S62" i="2" s="1"/>
  <c r="S46" i="2" s="1"/>
  <c r="K12" i="6"/>
  <c r="K14" i="6"/>
  <c r="K19" i="6" s="1"/>
  <c r="K28" i="6" s="1"/>
  <c r="O49" i="2"/>
  <c r="H16" i="1"/>
  <c r="O55" i="2"/>
  <c r="H18" i="1"/>
  <c r="H17" i="1"/>
  <c r="S34" i="2"/>
  <c r="L16" i="6"/>
  <c r="S24" i="2"/>
  <c r="T59" i="2" l="1"/>
  <c r="T23" i="2"/>
  <c r="P73" i="2"/>
  <c r="Q25" i="2"/>
  <c r="Q26" i="2" s="1"/>
  <c r="Q71" i="2"/>
  <c r="H17" i="4"/>
  <c r="H22" i="4"/>
  <c r="L11" i="6"/>
  <c r="P77" i="2"/>
  <c r="P40" i="2"/>
  <c r="L17" i="6"/>
  <c r="L18" i="6"/>
  <c r="F38" i="4"/>
  <c r="F39" i="4" s="1"/>
  <c r="P42" i="2" l="1"/>
  <c r="P43" i="2" s="1"/>
  <c r="P47" i="2" s="1"/>
  <c r="P54" i="2"/>
  <c r="Q75" i="2"/>
  <c r="Q72" i="2"/>
  <c r="Q39" i="2" s="1"/>
  <c r="L14" i="6"/>
  <c r="L19" i="6" s="1"/>
  <c r="L28" i="6" s="1"/>
  <c r="L12" i="6"/>
  <c r="Q27" i="2"/>
  <c r="Q28" i="2" s="1"/>
  <c r="Q30" i="2" s="1"/>
  <c r="K13" i="1"/>
  <c r="K20" i="1" s="1"/>
  <c r="H18" i="4"/>
  <c r="H39" i="3" s="1"/>
  <c r="H23" i="4"/>
  <c r="H25" i="4" s="1"/>
  <c r="H40" i="3"/>
  <c r="T34" i="2"/>
  <c r="T24" i="2"/>
  <c r="H21" i="4"/>
  <c r="T61" i="2"/>
  <c r="T62" i="2"/>
  <c r="T46" i="2" s="1"/>
  <c r="Q33" i="2" l="1"/>
  <c r="Q36" i="2" s="1"/>
  <c r="J19" i="1"/>
  <c r="Q53" i="2"/>
  <c r="U59" i="2"/>
  <c r="U23" i="2"/>
  <c r="I15" i="4"/>
  <c r="H9" i="4"/>
  <c r="Q51" i="2"/>
  <c r="I18" i="1"/>
  <c r="P55" i="2"/>
  <c r="I17" i="1"/>
  <c r="P49" i="2"/>
  <c r="I16" i="1"/>
  <c r="I17" i="4" l="1"/>
  <c r="I22" i="4"/>
  <c r="U61" i="2"/>
  <c r="U62" i="2" s="1"/>
  <c r="U46" i="2" s="1"/>
  <c r="U34" i="2"/>
  <c r="U24" i="2"/>
  <c r="G38" i="4"/>
  <c r="G39" i="4" s="1"/>
  <c r="R71" i="2"/>
  <c r="R25" i="2"/>
  <c r="R26" i="2" s="1"/>
  <c r="Q73" i="2"/>
  <c r="Q77" i="2"/>
  <c r="Q40" i="2"/>
  <c r="V59" i="2" l="1"/>
  <c r="V23" i="2"/>
  <c r="Q42" i="2"/>
  <c r="Q43" i="2" s="1"/>
  <c r="Q47" i="2" s="1"/>
  <c r="Q54" i="2"/>
  <c r="R27" i="2"/>
  <c r="R28" i="2" s="1"/>
  <c r="R30" i="2" s="1"/>
  <c r="I23" i="4"/>
  <c r="I25" i="4" s="1"/>
  <c r="I18" i="4"/>
  <c r="I39" i="3" s="1"/>
  <c r="L13" i="1"/>
  <c r="L20" i="1" s="1"/>
  <c r="I40" i="3"/>
  <c r="R75" i="2"/>
  <c r="R72" i="2"/>
  <c r="R39" i="2" s="1"/>
  <c r="I21" i="4"/>
  <c r="R33" i="2" l="1"/>
  <c r="R36" i="2" s="1"/>
  <c r="K19" i="1"/>
  <c r="R53" i="2"/>
  <c r="Q49" i="2"/>
  <c r="J16" i="1"/>
  <c r="R51" i="2"/>
  <c r="V34" i="2"/>
  <c r="V24" i="2"/>
  <c r="Q55" i="2"/>
  <c r="J17" i="1"/>
  <c r="J18" i="1"/>
  <c r="J15" i="4"/>
  <c r="I9" i="4"/>
  <c r="V61" i="2"/>
  <c r="V62" i="2" s="1"/>
  <c r="V46" i="2" s="1"/>
  <c r="R73" i="2" l="1"/>
  <c r="S71" i="2"/>
  <c r="S25" i="2"/>
  <c r="S26" i="2" s="1"/>
  <c r="J21" i="4"/>
  <c r="J17" i="4"/>
  <c r="J22" i="4"/>
  <c r="H38" i="4"/>
  <c r="H39" i="4" s="1"/>
  <c r="R77" i="2"/>
  <c r="R40" i="2"/>
  <c r="K15" i="4" l="1"/>
  <c r="J9" i="4"/>
  <c r="J18" i="4"/>
  <c r="J39" i="3" s="1"/>
  <c r="J23" i="4"/>
  <c r="J25" i="4" s="1"/>
  <c r="J40" i="3"/>
  <c r="R54" i="2"/>
  <c r="R42" i="2"/>
  <c r="R43" i="2" s="1"/>
  <c r="R47" i="2" s="1"/>
  <c r="S27" i="2"/>
  <c r="S28" i="2" s="1"/>
  <c r="S30" i="2" s="1"/>
  <c r="S75" i="2"/>
  <c r="S72" i="2"/>
  <c r="S39" i="2" s="1"/>
  <c r="S33" i="2" l="1"/>
  <c r="S36" i="2" s="1"/>
  <c r="L19" i="1"/>
  <c r="S53" i="2"/>
  <c r="R49" i="2"/>
  <c r="K16" i="1"/>
  <c r="K18" i="1"/>
  <c r="R55" i="2"/>
  <c r="K17" i="1"/>
  <c r="S51" i="2"/>
  <c r="K17" i="4"/>
  <c r="K22" i="4"/>
  <c r="S77" i="2" l="1"/>
  <c r="S40" i="2"/>
  <c r="K23" i="4"/>
  <c r="K25" i="4" s="1"/>
  <c r="K18" i="4"/>
  <c r="K39" i="3" s="1"/>
  <c r="K40" i="3"/>
  <c r="K21" i="4"/>
  <c r="T71" i="2"/>
  <c r="T25" i="2"/>
  <c r="T26" i="2" s="1"/>
  <c r="S73" i="2"/>
  <c r="I38" i="4"/>
  <c r="I39" i="4" s="1"/>
  <c r="T75" i="2" l="1"/>
  <c r="T72" i="2"/>
  <c r="T39" i="2" s="1"/>
  <c r="L15" i="4"/>
  <c r="K9" i="4"/>
  <c r="S42" i="2"/>
  <c r="S43" i="2" s="1"/>
  <c r="S47" i="2" s="1"/>
  <c r="S54" i="2"/>
  <c r="T27" i="2"/>
  <c r="T28" i="2" s="1"/>
  <c r="T30" i="2" s="1"/>
  <c r="T33" i="2" l="1"/>
  <c r="T36" i="2" s="1"/>
  <c r="T53" i="2"/>
  <c r="S55" i="2"/>
  <c r="L17" i="1"/>
  <c r="L18" i="1"/>
  <c r="S49" i="2"/>
  <c r="L16" i="1"/>
  <c r="L17" i="4"/>
  <c r="L21" i="4" s="1"/>
  <c r="L9" i="4" s="1"/>
  <c r="L22" i="4"/>
  <c r="T51" i="2"/>
  <c r="T73" i="2" l="1"/>
  <c r="U71" i="2"/>
  <c r="U25" i="2"/>
  <c r="U26" i="2" s="1"/>
  <c r="T77" i="2"/>
  <c r="T40" i="2"/>
  <c r="L23" i="4"/>
  <c r="L18" i="4"/>
  <c r="L39" i="3" s="1"/>
  <c r="L40" i="3"/>
  <c r="J38" i="4"/>
  <c r="J39" i="4" s="1"/>
  <c r="D30" i="4" l="1"/>
  <c r="D31" i="4" s="1"/>
  <c r="L25" i="4"/>
  <c r="D29" i="4" s="1"/>
  <c r="D32" i="4" s="1"/>
  <c r="T42" i="2"/>
  <c r="T43" i="2" s="1"/>
  <c r="T47" i="2" s="1"/>
  <c r="T54" i="2"/>
  <c r="U27" i="2"/>
  <c r="U28" i="2" s="1"/>
  <c r="U30" i="2" s="1"/>
  <c r="U75" i="2"/>
  <c r="U72" i="2"/>
  <c r="U39" i="2" s="1"/>
  <c r="U33" i="2" l="1"/>
  <c r="U36" i="2" s="1"/>
  <c r="U53" i="2"/>
  <c r="U51" i="2"/>
  <c r="T55" i="2"/>
  <c r="T49" i="2"/>
  <c r="D34" i="4"/>
  <c r="C8" i="1"/>
  <c r="V25" i="2" l="1"/>
  <c r="V26" i="2" s="1"/>
  <c r="U73" i="2"/>
  <c r="V71" i="2"/>
  <c r="U77" i="2"/>
  <c r="U40" i="2"/>
  <c r="K38" i="4"/>
  <c r="K39" i="4" s="1"/>
  <c r="U42" i="2" l="1"/>
  <c r="U43" i="2" s="1"/>
  <c r="U47" i="2" s="1"/>
  <c r="U54" i="2"/>
  <c r="V75" i="2"/>
  <c r="V72" i="2"/>
  <c r="V39" i="2" s="1"/>
  <c r="V27" i="2"/>
  <c r="V28" i="2" s="1"/>
  <c r="V30" i="2" s="1"/>
  <c r="V33" i="2" l="1"/>
  <c r="V36" i="2" s="1"/>
  <c r="V53" i="2"/>
  <c r="L38" i="4" s="1"/>
  <c r="L39" i="4" s="1"/>
  <c r="V51" i="2"/>
  <c r="U55" i="2"/>
  <c r="U49" i="2"/>
  <c r="V77" i="2" l="1"/>
  <c r="V40" i="2"/>
  <c r="V73" i="2"/>
  <c r="V42" i="2" l="1"/>
  <c r="V43" i="2" s="1"/>
  <c r="V47" i="2" s="1"/>
  <c r="V49" i="2" s="1"/>
  <c r="V54" i="2"/>
  <c r="V5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SRG Model Notes</author>
    <author>Ryan Roberts</author>
  </authors>
  <commentList>
    <comment ref="B6" authorId="0" shapeId="0" xr:uid="{00000000-0006-0000-0000-000001000000}">
      <text>
        <r>
          <rPr>
            <sz val="10"/>
            <rFont val="Arial"/>
            <family val="2"/>
          </rPr>
          <t>DDM intrinsic = DDM Model!$D$33 = D31(PV divs) + D32(PV terminal). D32 alone is only terminal PV, not the DDM = $79.93.</t>
        </r>
      </text>
    </comment>
    <comment ref="B9" authorId="1" shapeId="0" xr:uid="{C06873C0-24E4-E640-8204-8CEC2E7DB0C9}">
      <text>
        <r>
          <rPr>
            <sz val="10"/>
            <color rgb="FF000000"/>
            <rFont val="Tahoma"/>
            <family val="2"/>
          </rPr>
          <t>4:00pm EDT, 8/3/2026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model</author>
    <author>SRG Model Notes</author>
  </authors>
  <commentList>
    <comment ref="B7" authorId="0" shapeId="0" xr:uid="{00000000-0006-0000-0100-000001000000}">
      <text>
        <r>
          <rPr>
            <sz val="10"/>
            <rFont val="Arial"/>
            <family val="2"/>
          </rPr>
          <t>We keep revenue growth high in the early years to match what management expects, then let it cool toward a steady long run pace. That way the top line lands in the same mature grower story the dividend and residual income models are telling.</t>
        </r>
      </text>
    </comment>
    <comment ref="B13" authorId="0" shapeId="0" xr:uid="{00000000-0006-0000-0100-000002000000}">
      <text>
        <r>
          <rPr>
            <sz val="10"/>
            <rFont val="Arial"/>
            <family val="2"/>
          </rPr>
          <t>Capex climbs through the build out and peaks near 38 billion in 2032, in line with what management guides. After that it eases gently as growth matures.</t>
        </r>
      </text>
    </comment>
    <comment ref="B15" authorId="0" shapeId="0" xr:uid="{00000000-0006-0000-0100-000003000000}">
      <text>
        <r>
          <rPr>
            <sz val="10"/>
            <rFont val="Arial"/>
            <family val="2"/>
          </rPr>
          <t>This links straight to the dividend model so the two always tell the same story. It starts near ten percent and eases toward three as the company matures.</t>
        </r>
      </text>
    </comment>
    <comment ref="B23" authorId="0" shapeId="0" xr:uid="{00000000-0006-0000-0100-000004000000}">
      <text>
        <r>
          <rPr>
            <sz val="10"/>
            <rFont val="Arial"/>
            <family val="2"/>
          </rPr>
          <t>Uses reported earnings, which come in lumpier and slower than the adjusted number mgmt guides to. The heavy building phase pushes depreciation up faster than revenue, and that drag is exactly what the adjusted number leaves out.</t>
        </r>
      </text>
    </comment>
    <comment ref="B40" authorId="0" shapeId="0" xr:uid="{00000000-0006-0000-0100-000005000000}">
      <text>
        <r>
          <rPr>
            <sz val="10"/>
            <rFont val="Arial"/>
            <family val="2"/>
          </rPr>
          <t>This is the total equity like funding NextEra raises each year, both common shares and tax equity. It grows through the heavy build years then eases as capex comes down.</t>
        </r>
      </text>
    </comment>
    <comment ref="B43" authorId="0" shapeId="0" xr:uid="{00000000-0006-0000-0100-000006000000}">
      <text>
        <r>
          <rPr>
            <sz val="10"/>
            <rFont val="Arial"/>
            <family val="2"/>
          </rPr>
          <t>Since FCF is always negative and the financing never matches it perfectly, cash drifts up and down in a tight range rather than piling up.</t>
        </r>
      </text>
    </comment>
    <comment ref="B54" authorId="1" shapeId="0" xr:uid="{00000000-0006-0000-0100-000007000000}">
      <text>
        <r>
          <rPr>
            <sz val="10"/>
            <rFont val="Arial"/>
            <family val="2"/>
          </rPr>
          <t>NCI &amp; preferred = NEE's structured-capital stack (tax equity + preferred + corporate/equity units + hybrids with equity treatment). Grown to keep common equity thin as NEE historically does, holding GAAP ROE ~11% (vs NEE actual ~12%). ~$53B by 2035. Capex funded per mgmt plan: OCF + debt to ~6.7x GAAP net-debt/EBITDA (~4.5x adjusted) + ~$3B/yr common equity units[r40] + structured capital. Revenue grown ~9% tracking rate-base, ROIC ~5% = NEE actual.</t>
        </r>
      </text>
    </comment>
    <comment ref="B72" authorId="0" shapeId="0" xr:uid="{00000000-0006-0000-0100-000008000000}">
      <text>
        <r>
          <rPr>
            <sz val="10"/>
            <rFont val="Arial"/>
            <family val="2"/>
          </rPr>
          <t>Planned net debt issuance is now the driver (cash is the residual), so net change in cash reflects the real gap vs always-negative FCF rather than a forced zero. Declines as NEE moderates issuance toward value-grower status.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Ryan Roberts</author>
    <author>Model</author>
  </authors>
  <commentList>
    <comment ref="D13" authorId="0" shapeId="0" xr:uid="{C126E8FA-4C98-2A42-A345-6EF324F0DC0D}">
      <text>
        <r>
          <rPr>
            <sz val="10"/>
            <color rgb="FF000000"/>
            <rFont val="Tahoma"/>
            <family val="2"/>
          </rPr>
          <t>4:00pm EDT, 8/3/2026</t>
        </r>
      </text>
    </comment>
    <comment ref="D14" authorId="0" shapeId="0" xr:uid="{00000000-0006-0000-0200-000002000000}">
      <text>
        <r>
          <rPr>
            <sz val="10"/>
            <rFont val="Arial"/>
            <family val="2"/>
          </rPr>
          <t>4:00pm EDT</t>
        </r>
      </text>
    </comment>
    <comment ref="B20" authorId="1" shapeId="0" xr:uid="{00000000-0006-0000-0200-000001000000}">
      <text>
        <r>
          <rPr>
            <sz val="10"/>
            <rFont val="Arial"/>
            <family val="2"/>
          </rPr>
          <t>Following management's dividend guidance (10% through FY26, 6% through FY28), then fading gradually to the 3% terminal rate through FY35.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Analyst</author>
    <author>model</author>
    <author>SRG Model Notes</author>
    <author>Ryan Roberts</author>
  </authors>
  <commentList>
    <comment ref="D7" authorId="0" shapeId="0" xr:uid="{00000000-0006-0000-0300-000004000000}">
      <text>
        <r>
          <rPr>
            <sz val="10"/>
            <color rgb="FF000000"/>
            <rFont val="Arial"/>
            <family val="2"/>
          </rPr>
          <t>B0 is 2025 common equity from the 3 Statement Model divided by diluted shares from the Multiples tab. It leaves out the noncontrolling interest.</t>
        </r>
      </text>
    </comment>
    <comment ref="B9" authorId="1" shapeId="0" xr:uid="{00000000-0006-0000-0300-000001000000}">
      <text>
        <r>
          <rPr>
            <sz val="10"/>
            <color rgb="FF000000"/>
            <rFont val="Arial"/>
            <family val="2"/>
          </rPr>
          <t>Book value growth is no longer a set input, it now comes out of retained earnings plus the equity NextEra issues. It naturally eases toward the high single digits as issuance tapers, which is the real self funding rate for a company earning fifteen percent.</t>
        </r>
      </text>
    </comment>
    <comment ref="B16" authorId="2" shapeId="0" xr:uid="{00000000-0006-0000-0300-000002000000}">
      <text>
        <r>
          <rPr>
            <sz val="10"/>
            <color rgb="FF000000"/>
            <rFont val="Arial"/>
            <family val="2"/>
          </rPr>
          <t>Forecast ROE ~15%-&gt;14% = management's guided/adjusted return (guided ~8% EPS CAGR). Funded on the actual program, the 3-statement yields GAAP ROE ~11-13% (matching NEE's actual ~12%) with ROIC ~4-5% (NEE actual ~5%). The ~3-4pt gap (guided 15% vs GAAP ~11%) is the execution/normalization premium. RIM ($107, D32) = guidance BULL case; rating anchored on DDM($79.93)+SOTP($86.33) ~ price -&gt; HOLD.</t>
        </r>
      </text>
    </comment>
    <comment ref="B20" authorId="1" shapeId="0" xr:uid="{00000000-0006-0000-0300-000003000000}">
      <text>
        <r>
          <rPr>
            <sz val="10"/>
            <color rgb="FF000000"/>
            <rFont val="Arial"/>
            <family val="2"/>
          </rPr>
          <t>Equity issuance is the input here, staying positive but tapering as NextEra matures, since management guides continued issuance and never buybacks. Book growth and earnings then fall out of it, so the model funds itself the way the company actually plans to.</t>
        </r>
      </text>
    </comment>
    <comment ref="D33" authorId="3" shapeId="0" xr:uid="{535839A8-57D6-F24E-B3D0-143975F6383F}">
      <text>
        <r>
          <rPr>
            <sz val="10"/>
            <color rgb="FF000000"/>
            <rFont val="Tahoma"/>
            <family val="2"/>
          </rPr>
          <t>4:00pm EDT, 8/3/2026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SOTP</author>
    <author>Ryan Roberts</author>
  </authors>
  <commentList>
    <comment ref="C18" authorId="0" shapeId="0" xr:uid="{00000000-0006-0000-0400-000004000000}">
      <text>
        <r>
          <rPr>
            <sz val="10"/>
            <color rgb="FF000000"/>
            <rFont val="Arial"/>
            <family val="2"/>
          </rPr>
          <t>Price as of 4:00pm EDT 8/3/26</t>
        </r>
      </text>
    </comment>
    <comment ref="N36" authorId="1" shapeId="0" xr:uid="{00000000-0006-0000-0400-00000A000000}">
      <text>
        <r>
          <rPr>
            <sz val="10"/>
            <rFont val="Arial"/>
            <family val="2"/>
          </rPr>
          <t>EPS = FY25 diluted (local currency)
P/E = price ÷ EPS
'NM' = earnings negative/distorted, excluded from median.</t>
        </r>
      </text>
    </comment>
    <comment ref="E41" authorId="0" shapeId="0" xr:uid="{00000000-0006-0000-0400-000006000000}">
      <text>
        <r>
          <rPr>
            <sz val="10"/>
            <color rgb="FF000000"/>
            <rFont val="Arial"/>
            <family val="2"/>
          </rPr>
          <t>EDPR FY25: Recurring EBITDA €1,974M, net debt €8.1B, recurring net profit only €330M → P/E ~48x (growth-depressed) so EXCLUDED from P/E median. NCI/institutional partnerships ≈ €2,900M (approx).</t>
        </r>
      </text>
    </comment>
    <comment ref="E44" authorId="0" shapeId="0" xr:uid="{00000000-0006-0000-0400-000007000000}">
      <text>
        <r>
          <rPr>
            <sz val="10"/>
            <color rgb="FF000000"/>
            <rFont val="Arial"/>
            <family val="2"/>
          </rPr>
          <t>CWEN GAAP EPS ~nil/negative (yieldco) — excluded from P/E median. Adj EBITDA ~$1,140M used for EV/EBITDA.</t>
        </r>
      </text>
    </comment>
    <comment ref="E45" authorId="0" shapeId="0" xr:uid="{00000000-0006-0000-0400-000008000000}">
      <text>
        <r>
          <rPr>
            <sz val="10"/>
            <color rgb="FF000000"/>
            <rFont val="Arial"/>
            <family val="2"/>
          </rPr>
          <t>NPI 2025 net loss (EPS -C$0.65) — excluded from P/E median.</t>
        </r>
      </text>
    </comment>
    <comment ref="E46" authorId="0" shapeId="0" xr:uid="{00000000-0006-0000-0400-000009000000}">
      <text>
        <r>
          <rPr>
            <sz val="10"/>
            <color rgb="FF000000"/>
            <rFont val="Arial"/>
            <family val="2"/>
          </rPr>
          <t>Capital Power FY25: Adjusted EBITDA C$1,580M, net debt C$6,773M, 155.8M sh, DPS C$2.686. 2025 GAAP diluted EPS only C$0.88 (vs C$5.16 in 2024 — fair-value/one-off distorted) → EXCLUDED from P/E median.</t>
        </r>
      </text>
    </comment>
    <comment ref="B53" authorId="0" shapeId="0" xr:uid="{00000000-0006-0000-0400-000001000000}">
      <text>
        <r>
          <rPr>
            <sz val="10"/>
            <rFont val="Arial"/>
            <family val="2"/>
          </rPr>
          <t xml:space="preserve">FPL: median peer P/E × FPL GAAP net income $5,012M.
NEER: median peer P/E × NEER ADJUSTED net income $3,523M </t>
        </r>
      </text>
    </comment>
    <comment ref="B54" authorId="0" shapeId="0" xr:uid="{00000000-0006-0000-0400-000002000000}">
      <text>
        <r>
          <rPr>
            <sz val="10"/>
            <color rgb="FF000000"/>
            <rFont val="Arial"/>
            <family val="2"/>
          </rPr>
          <t>NextEra grows this line with the tax equity it raises to help fund the renewables build. It is no longer held flat like before.</t>
        </r>
      </text>
    </comment>
    <comment ref="D54" authorId="0" shapeId="0" xr:uid="{00000000-0006-0000-0400-000005000000}">
      <text>
        <r>
          <rPr>
            <sz val="10"/>
            <rFont val="Arial"/>
            <family val="2"/>
          </rPr>
          <t>Less NEER net debt $63,037M AND NEER minority/tax-equity ≈ $11,871M. 
Comp EVs include peer NCI (col Q) for consistency.</t>
        </r>
      </text>
    </comment>
    <comment ref="B55" authorId="0" shapeId="0" xr:uid="{00000000-0006-0000-0400-000003000000}">
      <text>
        <r>
          <rPr>
            <sz val="10"/>
            <rFont val="Arial"/>
            <family val="2"/>
          </rPr>
          <t>Book multiple only meaningful for the regulated segment (book ≈ rate base). NEER book value is not a value driver for renewables.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Notes</author>
  </authors>
  <commentList>
    <comment ref="B12" authorId="0" shapeId="0" xr:uid="{00000000-0006-0000-0600-000001000000}">
      <text>
        <r>
          <rPr>
            <sz val="10"/>
            <rFont val="Arial"/>
            <family val="2"/>
          </rPr>
          <t>Adjusted. All years 2021 and earlier now follow the 2025 reporting structure.</t>
        </r>
      </text>
    </comment>
    <comment ref="B14" authorId="0" shapeId="0" xr:uid="{00000000-0006-0000-0600-000002000000}">
      <text>
        <r>
          <rPr>
            <sz val="10"/>
            <rFont val="Arial"/>
            <family val="2"/>
          </rPr>
          <t>Adjusted. All years 2021 and earlier now follow the 2025 reporting structure.</t>
        </r>
      </text>
    </comment>
    <comment ref="B15" authorId="0" shapeId="0" xr:uid="{00000000-0006-0000-0600-000003000000}">
      <text>
        <r>
          <rPr>
            <sz val="10"/>
            <rFont val="Arial"/>
            <family val="2"/>
          </rPr>
          <t>Adjusted. All years 2021 and earlier now follow the 2025 reporting structure.</t>
        </r>
      </text>
    </comment>
    <comment ref="B16" authorId="0" shapeId="0" xr:uid="{00000000-0006-0000-0600-000004000000}">
      <text>
        <r>
          <rPr>
            <sz val="10"/>
            <rFont val="Arial"/>
            <family val="2"/>
          </rPr>
          <t>Adjusted. All years 2021 and earlier now follow the 2025 reporting structure.</t>
        </r>
      </text>
    </comment>
    <comment ref="C27" authorId="0" shapeId="0" xr:uid="{00000000-0006-0000-0600-000008000000}">
      <text>
        <r>
          <rPr>
            <sz val="10"/>
            <rFont val="Arial"/>
            <family val="2"/>
          </rPr>
          <t>Taken from FY2018 10-K.</t>
        </r>
      </text>
    </comment>
    <comment ref="D27" authorId="0" shapeId="0" xr:uid="{00000000-0006-0000-0600-000019000000}">
      <text>
        <r>
          <rPr>
            <sz val="10"/>
            <rFont val="Arial"/>
            <family val="2"/>
          </rPr>
          <t>Taken from FY2018 10-K.</t>
        </r>
      </text>
    </comment>
    <comment ref="B44" authorId="0" shapeId="0" xr:uid="{00000000-0006-0000-0600-000005000000}">
      <text>
        <r>
          <rPr>
            <sz val="10"/>
            <rFont val="Arial"/>
            <family val="2"/>
          </rPr>
          <t>Blank before 2018 because the rule requiring this line, ASU 2016-01, started that year. 2018 and 2019 blank because NextEra reported it inside Other net.</t>
        </r>
      </text>
    </comment>
    <comment ref="C45" authorId="0" shapeId="0" xr:uid="{00000000-0006-0000-0600-000009000000}">
      <text>
        <r>
          <rPr>
            <sz val="10"/>
            <rFont val="Arial"/>
            <family val="2"/>
          </rPr>
          <t>Taken from FY2018 10-K.</t>
        </r>
      </text>
    </comment>
    <comment ref="D45" authorId="0" shapeId="0" xr:uid="{00000000-0006-0000-0600-00001A000000}">
      <text>
        <r>
          <rPr>
            <sz val="10"/>
            <rFont val="Arial"/>
            <family val="2"/>
          </rPr>
          <t>Taken from FY2018 10-K.</t>
        </r>
      </text>
    </comment>
    <comment ref="F45" authorId="0" shapeId="0" xr:uid="{00000000-0006-0000-0600-00002B000000}">
      <text>
        <r>
          <rPr>
            <sz val="10"/>
            <rFont val="Arial"/>
            <family val="2"/>
          </rPr>
          <t>Taken from FY2020 10-K.</t>
        </r>
      </text>
    </comment>
    <comment ref="B64" authorId="0" shapeId="0" xr:uid="{00000000-0006-0000-0600-000006000000}">
      <text>
        <r>
          <rPr>
            <sz val="10"/>
            <rFont val="Arial"/>
            <family val="2"/>
          </rPr>
          <t>Only shows a value in the year the sale happened.</t>
        </r>
      </text>
    </comment>
    <comment ref="D65" authorId="0" shapeId="0" xr:uid="{00000000-0006-0000-0600-00001B000000}">
      <text>
        <r>
          <rPr>
            <sz val="10"/>
            <rFont val="Arial"/>
            <family val="2"/>
          </rPr>
          <t>Includes the 1,454 fiber optic telecom sale, which had no home in the 2025 layout.</t>
        </r>
      </text>
    </comment>
    <comment ref="C68" authorId="0" shapeId="0" xr:uid="{00000000-0006-0000-0600-00000A000000}">
      <text>
        <r>
          <rPr>
            <sz val="10"/>
            <rFont val="Arial"/>
            <family val="2"/>
          </rPr>
          <t>Includes Other net of 5, Recovery Act cash grants of 335 and NEP stake proceeds of 645. The 2025 layout has no rows for the last two.</t>
        </r>
      </text>
    </comment>
    <comment ref="D68" authorId="0" shapeId="0" xr:uid="{00000000-0006-0000-0600-00001C000000}">
      <text>
        <r>
          <rPr>
            <sz val="10"/>
            <rFont val="Arial"/>
            <family val="2"/>
          </rPr>
          <t>Holds Recovery Act grants and equity method distributions.</t>
        </r>
      </text>
    </comment>
    <comment ref="E68" authorId="0" shapeId="0" xr:uid="{00000000-0006-0000-0600-000027000000}">
      <text>
        <r>
          <rPr>
            <sz val="10"/>
            <rFont val="Arial"/>
            <family val="2"/>
          </rPr>
          <t>Holds Recovery Act grants and equity method distributions.</t>
        </r>
      </text>
    </comment>
    <comment ref="B81" authorId="0" shapeId="0" xr:uid="{00000000-0006-0000-0600-000007000000}">
      <text>
        <r>
          <rPr>
            <sz val="10"/>
            <rFont val="Arial"/>
            <family val="2"/>
          </rPr>
          <t>NextEra reports these under financing in 2019 through 2021 and under investing in 2016.</t>
        </r>
      </text>
    </comment>
    <comment ref="C83" authorId="0" shapeId="0" xr:uid="{00000000-0006-0000-0600-00000B000000}">
      <text>
        <r>
          <rPr>
            <sz val="10"/>
            <rFont val="Arial"/>
            <family val="2"/>
          </rPr>
          <t>From FY2018 10-K.</t>
        </r>
      </text>
    </comment>
    <comment ref="D83" authorId="0" shapeId="0" xr:uid="{00000000-0006-0000-0600-00001D000000}">
      <text>
        <r>
          <rPr>
            <sz val="10"/>
            <rFont val="Arial"/>
            <family val="2"/>
          </rPr>
          <t>From FY2018 10-K.</t>
        </r>
      </text>
    </comment>
    <comment ref="E83" authorId="0" shapeId="0" xr:uid="{00000000-0006-0000-0600-000028000000}">
      <text>
        <r>
          <rPr>
            <sz val="10"/>
            <rFont val="Arial"/>
            <family val="2"/>
          </rPr>
          <t>Corrected from -364 to -372 to match the FY2018 10-K.</t>
        </r>
      </text>
    </comment>
    <comment ref="C84" authorId="0" shapeId="0" xr:uid="{00000000-0006-0000-0600-00000C000000}">
      <text>
        <r>
          <rPr>
            <sz val="10"/>
            <rFont val="Arial"/>
            <family val="2"/>
          </rPr>
          <t>From FY2018 10-K.</t>
        </r>
      </text>
    </comment>
    <comment ref="D84" authorId="0" shapeId="0" xr:uid="{00000000-0006-0000-0600-00001E000000}">
      <text>
        <r>
          <rPr>
            <sz val="10"/>
            <rFont val="Arial"/>
            <family val="2"/>
          </rPr>
          <t>From FY2018 10-K.</t>
        </r>
      </text>
    </comment>
    <comment ref="C85" authorId="0" shapeId="0" xr:uid="{00000000-0006-0000-0600-00000D000000}">
      <text>
        <r>
          <rPr>
            <sz val="10"/>
            <rFont val="Arial"/>
            <family val="2"/>
          </rPr>
          <t>From FY2018 10-K.</t>
        </r>
      </text>
    </comment>
    <comment ref="D85" authorId="0" shapeId="0" xr:uid="{00000000-0006-0000-0600-00001F000000}">
      <text>
        <r>
          <rPr>
            <sz val="10"/>
            <rFont val="Arial"/>
            <family val="2"/>
          </rPr>
          <t>From FY2018 10-K.</t>
        </r>
      </text>
    </comment>
    <comment ref="C86" authorId="0" shapeId="0" xr:uid="{00000000-0006-0000-0600-00000E000000}">
      <text>
        <r>
          <rPr>
            <sz val="10"/>
            <rFont val="Arial"/>
            <family val="2"/>
          </rPr>
          <t>From FY2018 10-K.</t>
        </r>
      </text>
    </comment>
    <comment ref="D86" authorId="0" shapeId="0" xr:uid="{00000000-0006-0000-0600-000020000000}">
      <text>
        <r>
          <rPr>
            <sz val="10"/>
            <rFont val="Arial"/>
            <family val="2"/>
          </rPr>
          <t>From FY2018 10-K.</t>
        </r>
      </text>
    </comment>
    <comment ref="C87" authorId="0" shapeId="0" xr:uid="{00000000-0006-0000-0600-00000F000000}">
      <text>
        <r>
          <rPr>
            <sz val="10"/>
            <rFont val="Arial"/>
            <family val="2"/>
          </rPr>
          <t>From FY2018 10-K.</t>
        </r>
      </text>
    </comment>
    <comment ref="D87" authorId="0" shapeId="0" xr:uid="{00000000-0006-0000-0600-000021000000}">
      <text>
        <r>
          <rPr>
            <sz val="10"/>
            <rFont val="Arial"/>
            <family val="2"/>
          </rPr>
          <t>From FY2018 10-K.</t>
        </r>
      </text>
    </comment>
    <comment ref="C88" authorId="0" shapeId="0" xr:uid="{00000000-0006-0000-0600-000010000000}">
      <text>
        <r>
          <rPr>
            <sz val="10"/>
            <rFont val="Arial"/>
            <family val="2"/>
          </rPr>
          <t>From FY2018 10-K.</t>
        </r>
      </text>
    </comment>
    <comment ref="D88" authorId="0" shapeId="0" xr:uid="{00000000-0006-0000-0600-000022000000}">
      <text>
        <r>
          <rPr>
            <sz val="10"/>
            <rFont val="Arial"/>
            <family val="2"/>
          </rPr>
          <t>From FY2018 10-K.</t>
        </r>
      </text>
    </comment>
    <comment ref="C89" authorId="0" shapeId="0" xr:uid="{00000000-0006-0000-0600-000011000000}">
      <text>
        <r>
          <rPr>
            <sz val="10"/>
            <rFont val="Arial"/>
            <family val="2"/>
          </rPr>
          <t>Gathered values from FY2018 10-K.</t>
        </r>
      </text>
    </comment>
    <comment ref="C101" authorId="0" shapeId="0" xr:uid="{00000000-0006-0000-0600-000012000000}">
      <text>
        <r>
          <rPr>
            <sz val="10"/>
            <rFont val="Arial"/>
            <family val="2"/>
          </rPr>
          <t>Includes 452 of assets held for sale, which the 2025 layout has no row for.</t>
        </r>
      </text>
    </comment>
    <comment ref="C106" authorId="0" shapeId="0" xr:uid="{00000000-0006-0000-0600-000013000000}">
      <text>
        <r>
          <rPr>
            <sz val="10"/>
            <rFont val="Arial"/>
            <family val="2"/>
          </rPr>
          <t>In 2016 this line was called Other investments and covers more than equity method investees.</t>
        </r>
      </text>
    </comment>
    <comment ref="C110" authorId="0" shapeId="0" xr:uid="{00000000-0006-0000-0600-000014000000}">
      <text>
        <r>
          <rPr>
            <sz val="10"/>
            <rFont val="Arial"/>
            <family val="2"/>
          </rPr>
          <t>Goodwill taken from the Goodwill and Other Intangible Assets note in each 10K.</t>
        </r>
      </text>
    </comment>
    <comment ref="D110" authorId="0" shapeId="0" xr:uid="{00000000-0006-0000-0600-000023000000}">
      <text>
        <r>
          <rPr>
            <sz val="10"/>
            <rFont val="Arial"/>
            <family val="2"/>
          </rPr>
          <t>Goodwill taken from the Goodwill and Other Intangible Assets note in each 10-K.</t>
        </r>
      </text>
    </comment>
    <comment ref="E110" authorId="0" shapeId="0" xr:uid="{00000000-0006-0000-0600-000029000000}">
      <text>
        <r>
          <rPr>
            <sz val="10"/>
            <rFont val="Arial"/>
            <family val="2"/>
          </rPr>
          <t>Goodwill taken from the Goodwill and Other Intangible Assets note in each 10K.</t>
        </r>
      </text>
    </comment>
    <comment ref="C125" authorId="0" shapeId="0" xr:uid="{00000000-0006-0000-0600-000015000000}">
      <text>
        <r>
          <rPr>
            <sz val="10"/>
            <rFont val="Arial"/>
            <family val="2"/>
          </rPr>
          <t>Includes 451 of liabilities tied to assets held for sale, which the 2025 layout has no row for.</t>
        </r>
      </text>
    </comment>
    <comment ref="D133" authorId="0" shapeId="0" xr:uid="{00000000-0006-0000-0600-000024000000}">
      <text>
        <r>
          <rPr>
            <sz val="10"/>
            <rFont val="Arial"/>
            <family val="2"/>
          </rPr>
          <t>Includes differential membership deferrals, which the 2025 layout has no row for.</t>
        </r>
      </text>
    </comment>
    <comment ref="E133" authorId="0" shapeId="0" xr:uid="{00000000-0006-0000-0600-00002A000000}">
      <text>
        <r>
          <rPr>
            <sz val="10"/>
            <rFont val="Arial"/>
            <family val="2"/>
          </rPr>
          <t>Includes differential membership deferrals, which the 2025 layout has no row for.</t>
        </r>
      </text>
    </comment>
    <comment ref="C134" authorId="0" shapeId="0" xr:uid="{00000000-0006-0000-0600-000016000000}">
      <text>
        <r>
          <rPr>
            <sz val="10"/>
            <rFont val="Arial"/>
            <family val="2"/>
          </rPr>
          <t>Long term debt 27,818 plus other liabilities and deferred credits 25,925. The 2016 balance sheet grouped these under a separate heading rather than listing them with debt.</t>
        </r>
      </text>
    </comment>
    <comment ref="K157" authorId="0" shapeId="0" xr:uid="{00000000-0006-0000-0600-00002E000000}">
      <text>
        <r>
          <rPr>
            <sz val="10"/>
            <rFont val="Arial"/>
            <family val="2"/>
          </rPr>
          <t>Corrected from -8,892 to -5,892.</t>
        </r>
      </text>
    </comment>
    <comment ref="C200" authorId="0" shapeId="0" xr:uid="{00000000-0006-0000-0600-000017000000}">
      <text>
        <r>
          <rPr>
            <sz val="10"/>
            <rFont val="Arial"/>
            <family val="2"/>
          </rPr>
          <t>Cash actually paid, which differs from interest expense above.</t>
        </r>
      </text>
    </comment>
    <comment ref="D200" authorId="0" shapeId="0" xr:uid="{00000000-0006-0000-0600-000025000000}">
      <text>
        <r>
          <rPr>
            <sz val="10"/>
            <rFont val="Arial"/>
            <family val="2"/>
          </rPr>
          <t>Cash actually paid, which differs from interest expense above.</t>
        </r>
      </text>
    </comment>
    <comment ref="H200" authorId="0" shapeId="0" xr:uid="{00000000-0006-0000-0600-00002C000000}">
      <text>
        <r>
          <rPr>
            <sz val="10"/>
            <rFont val="Arial"/>
            <family val="2"/>
          </rPr>
          <t>Cash actually paid, which differs from interest expense above.</t>
        </r>
      </text>
    </comment>
    <comment ref="C201" authorId="0" shapeId="0" xr:uid="{00000000-0006-0000-0600-000018000000}">
      <text>
        <r>
          <rPr>
            <sz val="10"/>
            <rFont val="Arial"/>
            <family val="2"/>
          </rPr>
          <t>Roughly what it cost NextEra to borrow that year.</t>
        </r>
      </text>
    </comment>
    <comment ref="D201" authorId="0" shapeId="0" xr:uid="{00000000-0006-0000-0600-000026000000}">
      <text>
        <r>
          <rPr>
            <sz val="10"/>
            <rFont val="Arial"/>
            <family val="2"/>
          </rPr>
          <t>Roughly what it cost NextEra to borrow that year.</t>
        </r>
      </text>
    </comment>
    <comment ref="H201" authorId="0" shapeId="0" xr:uid="{00000000-0006-0000-0600-00002D000000}">
      <text>
        <r>
          <rPr>
            <sz val="10"/>
            <rFont val="Arial"/>
            <family val="2"/>
          </rPr>
          <t>Roughly what it cost NextEra to borrow that year.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Ryan Roberts</author>
    <author>Model</author>
  </authors>
  <commentList>
    <comment ref="B6" authorId="0" shapeId="0" xr:uid="{00000000-0006-0000-0700-000001000000}">
      <text>
        <r>
          <rPr>
            <sz val="10"/>
            <rFont val="Arial"/>
            <family val="2"/>
          </rPr>
          <t>US 10yr Treasury Yield</t>
        </r>
      </text>
    </comment>
    <comment ref="B7" authorId="0" shapeId="0" xr:uid="{00000000-0006-0000-0700-000002000000}">
      <text>
        <r>
          <rPr>
            <sz val="10"/>
            <rFont val="Arial"/>
            <family val="2"/>
          </rPr>
          <t>Source: Aswath Damodaran
Return on the S&amp;P500 minus risk free rate in USD</t>
        </r>
      </text>
    </comment>
    <comment ref="B13" authorId="0" shapeId="0" xr:uid="{234F212B-6A02-C64E-A10A-ED7F6B03ACCC}">
      <text>
        <r>
          <rPr>
            <sz val="10"/>
            <color rgb="FF000000"/>
            <rFont val="Tahoma"/>
            <family val="2"/>
          </rPr>
          <t>4:00pm EDT, 8/3/2026</t>
        </r>
      </text>
    </comment>
    <comment ref="B14" authorId="1" shapeId="0" xr:uid="{00000000-0006-0000-0700-000003000000}">
      <text>
        <r>
          <rPr>
            <sz val="10"/>
            <rFont val="Arial"/>
            <family val="2"/>
          </rPr>
          <t>The terminal growth rate is capped by the long-run GDP growth.</t>
        </r>
      </text>
    </comment>
  </commentList>
</comments>
</file>

<file path=xl/sharedStrings.xml><?xml version="1.0" encoding="utf-8"?>
<sst xmlns="http://schemas.openxmlformats.org/spreadsheetml/2006/main" count="586" uniqueCount="446">
  <si>
    <t>NextEra Energy — Dashboard</t>
  </si>
  <si>
    <t>Valuation Summary ($/share)</t>
  </si>
  <si>
    <t>DDM</t>
  </si>
  <si>
    <t>SOTP</t>
  </si>
  <si>
    <t>RIM</t>
  </si>
  <si>
    <t>Current Price</t>
  </si>
  <si>
    <t>Chart Data</t>
  </si>
  <si>
    <t>2023A</t>
  </si>
  <si>
    <t>2024A</t>
  </si>
  <si>
    <t>2025A</t>
  </si>
  <si>
    <t>2026E</t>
  </si>
  <si>
    <t>2027E</t>
  </si>
  <si>
    <t>2028E</t>
  </si>
  <si>
    <t>2029E</t>
  </si>
  <si>
    <t>2030E</t>
  </si>
  <si>
    <t>2031E</t>
  </si>
  <si>
    <t>2032E</t>
  </si>
  <si>
    <t>Revenue ($M)</t>
  </si>
  <si>
    <t>Adjusted EPS ($)</t>
  </si>
  <si>
    <t>DPS ($)</t>
  </si>
  <si>
    <t>Capex ($M)</t>
  </si>
  <si>
    <t>Net debt / EBITDA</t>
  </si>
  <si>
    <t>ROIC</t>
  </si>
  <si>
    <t>WACC</t>
  </si>
  <si>
    <t>GAAP EPS ($)</t>
  </si>
  <si>
    <t>Adj. EPS growth %</t>
  </si>
  <si>
    <t>DPS growth %</t>
  </si>
  <si>
    <t>NextEra Energy — 3-Statement Model</t>
  </si>
  <si>
    <t>$ in Millions</t>
  </si>
  <si>
    <t>2016A</t>
  </si>
  <si>
    <t>2017A</t>
  </si>
  <si>
    <t>2018A</t>
  </si>
  <si>
    <t>2019A</t>
  </si>
  <si>
    <t>2020A</t>
  </si>
  <si>
    <t>2021A</t>
  </si>
  <si>
    <t>2022A</t>
  </si>
  <si>
    <t>2033E</t>
  </si>
  <si>
    <t>2034E</t>
  </si>
  <si>
    <t>2035E</t>
  </si>
  <si>
    <t>Assumptions</t>
  </si>
  <si>
    <t>Revenue growth %</t>
  </si>
  <si>
    <t>Cost of sales (fuel) % rev</t>
  </si>
  <si>
    <t>Operating expenses % rev</t>
  </si>
  <si>
    <t>Other income % rev</t>
  </si>
  <si>
    <t>Depreciation % of PP&amp;E</t>
  </si>
  <si>
    <t>Effective tax rate</t>
  </si>
  <si>
    <t>Capex % rev</t>
  </si>
  <si>
    <t>Cost of debt</t>
  </si>
  <si>
    <t>Dividend growth %</t>
  </si>
  <si>
    <t>Income Statement</t>
  </si>
  <si>
    <t>Operating revenues</t>
  </si>
  <si>
    <t>Cost of sales (fuel &amp; purchased power)</t>
  </si>
  <si>
    <t>Gross profit</t>
  </si>
  <si>
    <t>Operating &amp; other expenses</t>
  </si>
  <si>
    <t>EBITDA</t>
  </si>
  <si>
    <t>Depreciation &amp; amortization</t>
  </si>
  <si>
    <t>EBIT (operating income)</t>
  </si>
  <si>
    <t>Interest &amp; other, net</t>
  </si>
  <si>
    <t>Income before taxes (EBT)</t>
  </si>
  <si>
    <t>Income tax (benefit)</t>
  </si>
  <si>
    <t>Net income incl. NCI</t>
  </si>
  <si>
    <t>Less: net loss to NCI</t>
  </si>
  <si>
    <t>Net income to NEE</t>
  </si>
  <si>
    <t>Cash Flow Statement</t>
  </si>
  <si>
    <t>Net income (to NEE)</t>
  </si>
  <si>
    <t>Add: depreciation &amp; amortization</t>
  </si>
  <si>
    <t>Change in working capital</t>
  </si>
  <si>
    <t>Cash from operations</t>
  </si>
  <si>
    <t>Capital expenditure</t>
  </si>
  <si>
    <t>Cash from investing</t>
  </si>
  <si>
    <t>Net debt issuance (retirement)</t>
  </si>
  <si>
    <t>Equity issuance</t>
  </si>
  <si>
    <t>Dividends paid</t>
  </si>
  <si>
    <t>Cash from financing</t>
  </si>
  <si>
    <t>Net change in cash</t>
  </si>
  <si>
    <t>Balance Sheet</t>
  </si>
  <si>
    <t>Property, plant &amp; equipment, net</t>
  </si>
  <si>
    <t>Cash &amp; equivalents</t>
  </si>
  <si>
    <t>Other assets</t>
  </si>
  <si>
    <t>Total assets</t>
  </si>
  <si>
    <t>Total debt</t>
  </si>
  <si>
    <t>Other liabilities</t>
  </si>
  <si>
    <t>Common equity</t>
  </si>
  <si>
    <t>NCI &amp; preferred</t>
  </si>
  <si>
    <t>Total liabilities &amp; equity</t>
  </si>
  <si>
    <t>Depreciation Schedule</t>
  </si>
  <si>
    <t>PP&amp;E beginning balance</t>
  </si>
  <si>
    <t>Capex</t>
  </si>
  <si>
    <t>Depreciation</t>
  </si>
  <si>
    <t>PP&amp;E ending balance</t>
  </si>
  <si>
    <t>Working Capital Schedule</t>
  </si>
  <si>
    <t>Other operating assets</t>
  </si>
  <si>
    <t>Other operating liabilities</t>
  </si>
  <si>
    <t>Net working capital</t>
  </si>
  <si>
    <t>Change in WC (cash impact)</t>
  </si>
  <si>
    <t>Debt Schedule</t>
  </si>
  <si>
    <t>Debt beginning balance</t>
  </si>
  <si>
    <t>Net issuance (retirement)</t>
  </si>
  <si>
    <t>Debt ending balance</t>
  </si>
  <si>
    <t>Interest rate</t>
  </si>
  <si>
    <t>Interest expense</t>
  </si>
  <si>
    <t>Free cash flow (operating cash − capex)</t>
  </si>
  <si>
    <t>DDM Model — NextEra Energy, Inc. (NEE)</t>
  </si>
  <si>
    <t>Cost of Equity  (CAPM)</t>
  </si>
  <si>
    <t>Risk-free rate</t>
  </si>
  <si>
    <t>Equity risk premium</t>
  </si>
  <si>
    <t>Levered beta</t>
  </si>
  <si>
    <t>Cost of equity  (rf + β × ERP)</t>
  </si>
  <si>
    <t>Dividend &amp; Valuation Inputs</t>
  </si>
  <si>
    <t>Base-year dividend/share  (2025A)</t>
  </si>
  <si>
    <t>Current share price ($)</t>
  </si>
  <si>
    <t>Valuation date</t>
  </si>
  <si>
    <t>Terminal g rate</t>
  </si>
  <si>
    <t>Dividend Forecast &amp; Discounting</t>
  </si>
  <si>
    <t>Forecast year</t>
  </si>
  <si>
    <t>Discount period  (t)</t>
  </si>
  <si>
    <t>Dividend growth rate</t>
  </si>
  <si>
    <t>Dividend per share (DPS)</t>
  </si>
  <si>
    <t>Discount factor @ Ke</t>
  </si>
  <si>
    <t>PV of dividend</t>
  </si>
  <si>
    <t>Terminal Value  (Gordon growth on 2035 DPS)</t>
  </si>
  <si>
    <t>Terminal-year DPS (2035)</t>
  </si>
  <si>
    <t>Terminal value @ 2035  = DPS×(1+g)/(Ke−g)</t>
  </si>
  <si>
    <t>PV of terminal value</t>
  </si>
  <si>
    <t>Intrinsic Value per Share</t>
  </si>
  <si>
    <t>PV of explicit dividends (2026–2035)</t>
  </si>
  <si>
    <t>Plus: PV of terminal value</t>
  </si>
  <si>
    <t>Intrinsic value per share</t>
  </si>
  <si>
    <t>Current share price</t>
  </si>
  <si>
    <t>Implied upside / (downside)</t>
  </si>
  <si>
    <t>Consistency Checks</t>
  </si>
  <si>
    <t>Assumed dividend growth (input)</t>
  </si>
  <si>
    <t>Adjusted EPS growth</t>
  </si>
  <si>
    <t>Implied payout ratio (DPS ÷ adj EPS)</t>
  </si>
  <si>
    <t>Residual Income Model — NextEra Energy, Inc. (NEE)</t>
  </si>
  <si>
    <t>Inputs</t>
  </si>
  <si>
    <t>Cost of equity (Ke)</t>
  </si>
  <si>
    <t>Current book value / share</t>
  </si>
  <si>
    <t>Terminal residual-income growth (g∞)</t>
  </si>
  <si>
    <t>Book-value growth  (rate base–funded)</t>
  </si>
  <si>
    <t>Residual Income Forecast</t>
  </si>
  <si>
    <t>Beginning book value / share</t>
  </si>
  <si>
    <t xml:space="preserve">Forecast ROE </t>
  </si>
  <si>
    <t>EPS  = ROE × beginning BV</t>
  </si>
  <si>
    <t>EPS growth (y/y)</t>
  </si>
  <si>
    <t>Dividends / share (DPS)</t>
  </si>
  <si>
    <t>Net equity issued / share</t>
  </si>
  <si>
    <t>Ending book value / share  = beg + EPS − DPS + issued</t>
  </si>
  <si>
    <t>Equity charge  = Ke × beginning BV</t>
  </si>
  <si>
    <t>Residual income  = EPS − equity charge</t>
  </si>
  <si>
    <t>PV of residual income</t>
  </si>
  <si>
    <t>Current book value / share (B0)</t>
  </si>
  <si>
    <t>PV of explicit residual income (2026–2035)</t>
  </si>
  <si>
    <t>Terminal value of residual income (@2035)</t>
  </si>
  <si>
    <t>PV of terminal residual income</t>
  </si>
  <si>
    <t>Intrinsic value / share  = B0 + PV RI + PV terminal</t>
  </si>
  <si>
    <t>Assumed ROE (input)</t>
  </si>
  <si>
    <t>Implied ROE — 3-statement (GAAP, NI ÷ avg equity)</t>
  </si>
  <si>
    <t>Normalization premium (adjusted − GAAP)</t>
  </si>
  <si>
    <t>NextEra Energy — Sum-of-the-Parts Relative Valuation</t>
  </si>
  <si>
    <t>All data as of 4:00pm EDT, 8/3/2026</t>
  </si>
  <si>
    <t>NEE SEGMENT FINANCIALS  (FY2025, $mm)</t>
  </si>
  <si>
    <t>Metric</t>
  </si>
  <si>
    <t>FPL</t>
  </si>
  <si>
    <t>NEER</t>
  </si>
  <si>
    <t>Net income to NEE (GAAP)</t>
  </si>
  <si>
    <t>Net income (adjusted)</t>
  </si>
  <si>
    <t>Operating income (EBIT)</t>
  </si>
  <si>
    <t>D&amp;A</t>
  </si>
  <si>
    <t>EBITDA (GAAP)</t>
  </si>
  <si>
    <t>EBITDA (adjusted, mgmt)</t>
  </si>
  <si>
    <t>Book equity (to NEE)</t>
  </si>
  <si>
    <t>Cash</t>
  </si>
  <si>
    <t>Net debt</t>
  </si>
  <si>
    <t>NEE diluted shares (mm)</t>
  </si>
  <si>
    <t>NEE share price ($)</t>
  </si>
  <si>
    <t>FPL PEERS  (regulated)</t>
  </si>
  <si>
    <t>Ticker</t>
  </si>
  <si>
    <t>Curr</t>
  </si>
  <si>
    <t>Price*</t>
  </si>
  <si>
    <t>P/E*</t>
  </si>
  <si>
    <t>Book eq</t>
  </si>
  <si>
    <t>Shares mm</t>
  </si>
  <si>
    <t>DPS</t>
  </si>
  <si>
    <t>Mkt cap</t>
  </si>
  <si>
    <t>EV</t>
  </si>
  <si>
    <t>EV/EBITDA</t>
  </si>
  <si>
    <t>P/B</t>
  </si>
  <si>
    <t>Div yld</t>
  </si>
  <si>
    <t>EPS FY25</t>
  </si>
  <si>
    <t>NCI+pref</t>
  </si>
  <si>
    <t>DTE</t>
  </si>
  <si>
    <t>USD</t>
  </si>
  <si>
    <t>CMS</t>
  </si>
  <si>
    <t>EVRG</t>
  </si>
  <si>
    <t>DUK</t>
  </si>
  <si>
    <t>PNW</t>
  </si>
  <si>
    <t>ETR</t>
  </si>
  <si>
    <t>AEE</t>
  </si>
  <si>
    <t>XEL</t>
  </si>
  <si>
    <t>SO</t>
  </si>
  <si>
    <t>LNT</t>
  </si>
  <si>
    <t>Median</t>
  </si>
  <si>
    <t>NEER PEERS  (renewables / IPP)</t>
  </si>
  <si>
    <t>ENGI</t>
  </si>
  <si>
    <t>EUR</t>
  </si>
  <si>
    <t>RWE</t>
  </si>
  <si>
    <t>AES</t>
  </si>
  <si>
    <t>IBE</t>
  </si>
  <si>
    <t>EDPR</t>
  </si>
  <si>
    <t>NM</t>
  </si>
  <si>
    <t>SSE</t>
  </si>
  <si>
    <t>GBP</t>
  </si>
  <si>
    <t>BEP</t>
  </si>
  <si>
    <t>CWEN</t>
  </si>
  <si>
    <t>NPI</t>
  </si>
  <si>
    <t>CAD</t>
  </si>
  <si>
    <t>CPX</t>
  </si>
  <si>
    <t>SUM-OF-THE-PARTS</t>
  </si>
  <si>
    <t>$ in millions; implied value per share in $</t>
  </si>
  <si>
    <t>Method</t>
  </si>
  <si>
    <t>FPL equity value</t>
  </si>
  <si>
    <t>NEER equity value</t>
  </si>
  <si>
    <t>NEE equity value</t>
  </si>
  <si>
    <t>Implied $/share</t>
  </si>
  <si>
    <t>P/E  (× segment net income)</t>
  </si>
  <si>
    <t>EV/EBITDA  (× segment EBITDA − net debt)</t>
  </si>
  <si>
    <t>P/B  (× book equity) — FPL only</t>
  </si>
  <si>
    <t>n/m</t>
  </si>
  <si>
    <t>BLENDED (avg of methods)</t>
  </si>
  <si>
    <t>Current NEE price</t>
  </si>
  <si>
    <t>RELATIVE VALUE CHECK</t>
  </si>
  <si>
    <t>Adjusted forward P/E  (price ÷ 2026E adj EPS)</t>
  </si>
  <si>
    <t>Blended peer P/E</t>
  </si>
  <si>
    <t>Premium / (discount) to peers</t>
  </si>
  <si>
    <t>Forward P/E — chart data</t>
  </si>
  <si>
    <t>NEE</t>
  </si>
  <si>
    <t>FPL Regulated Peers</t>
  </si>
  <si>
    <t>NEER Renewables/IPP Peers</t>
  </si>
  <si>
    <t>Operating Model ($ in Millions, Normalized)</t>
  </si>
  <si>
    <t>NextEra Energy, Inc. - NYSE: NEE</t>
  </si>
  <si>
    <t>Revenue</t>
  </si>
  <si>
    <t>% Growth</t>
  </si>
  <si>
    <t>% Margin</t>
  </si>
  <si>
    <t>EBIT</t>
  </si>
  <si>
    <t>NOPAT</t>
  </si>
  <si>
    <t>Depreciation and Amortization</t>
  </si>
  <si>
    <t>Deferred Taxes &amp; Investment Tax Credit</t>
  </si>
  <si>
    <t>Other Funds</t>
  </si>
  <si>
    <t>Funds From Operation</t>
  </si>
  <si>
    <t>Receivables</t>
  </si>
  <si>
    <t>Inventories</t>
  </si>
  <si>
    <t>Accounts Payable</t>
  </si>
  <si>
    <t>Other Assets/Liabilities</t>
  </si>
  <si>
    <t>Change in Working Capital</t>
  </si>
  <si>
    <t>Capital Expenditures</t>
  </si>
  <si>
    <t>Unlevered Free Cash Flow</t>
  </si>
  <si>
    <t>NextEra Energy, Inc. (NEE) — 10-K Filings</t>
  </si>
  <si>
    <t>Fiscal yrs 2016–2025  |  USD $ in millions (except per-share)  |  Consolidated, as reported |</t>
  </si>
  <si>
    <t>($ in millions)</t>
  </si>
  <si>
    <t>FY2016</t>
  </si>
  <si>
    <t>FY2017</t>
  </si>
  <si>
    <t>FY2018</t>
  </si>
  <si>
    <t>FY2019</t>
  </si>
  <si>
    <t>FY2020</t>
  </si>
  <si>
    <t>FY2021</t>
  </si>
  <si>
    <t>FY2022</t>
  </si>
  <si>
    <t>FY2023</t>
  </si>
  <si>
    <t>FY2024</t>
  </si>
  <si>
    <t>FY2025</t>
  </si>
  <si>
    <t>INCOME STATEMENT</t>
  </si>
  <si>
    <t xml:space="preserve">   Operating revenues</t>
  </si>
  <si>
    <t xml:space="preserve">   Operating expenses:</t>
  </si>
  <si>
    <t xml:space="preserve">      Fuel, purchased power and interchange</t>
  </si>
  <si>
    <t xml:space="preserve">      Other operations and maintenance</t>
  </si>
  <si>
    <t xml:space="preserve">      Depreciation and amortization</t>
  </si>
  <si>
    <t xml:space="preserve">      Taxes other than income taxes and other – net</t>
  </si>
  <si>
    <t>Total operating expenses – net</t>
  </si>
  <si>
    <t xml:space="preserve">   Gains on disposal of businesses/assets – net</t>
  </si>
  <si>
    <t>OPERATING INCOME (EBIT)</t>
  </si>
  <si>
    <t xml:space="preserve">   Memo: EBITDA (operating income + D&amp;A)</t>
  </si>
  <si>
    <t xml:space="preserve">   Other income (deductions):</t>
  </si>
  <si>
    <t xml:space="preserve">      Interest expense</t>
  </si>
  <si>
    <t xml:space="preserve">      Equity in earnings (losses) of equity method investees</t>
  </si>
  <si>
    <t xml:space="preserve">      Allowance for equity funds used during construction</t>
  </si>
  <si>
    <t xml:space="preserve">      Gains on disposal of investments &amp; other property – net</t>
  </si>
  <si>
    <t xml:space="preserve">      Change in unrealized gains (losses) on equity secs – NDF</t>
  </si>
  <si>
    <t xml:space="preserve">      Other net periodic benefit income</t>
  </si>
  <si>
    <t xml:space="preserve">      Other – net</t>
  </si>
  <si>
    <t>Total other income (deductions) – net</t>
  </si>
  <si>
    <t>INCOME BEFORE INCOME TAXES (EBT)</t>
  </si>
  <si>
    <t xml:space="preserve">   Income tax expense (benefit)</t>
  </si>
  <si>
    <t>NET INCOME (incl. noncontrolling interests)</t>
  </si>
  <si>
    <t xml:space="preserve">   Net loss attributable to noncontrolling interests</t>
  </si>
  <si>
    <t>NET INCOME ATTRIBUTABLE TO NEE</t>
  </si>
  <si>
    <t xml:space="preserve">   Earnings per share – basic ($)</t>
  </si>
  <si>
    <t xml:space="preserve">   Earnings per share – diluted ($)</t>
  </si>
  <si>
    <t>CASH FLOW STATEMENT</t>
  </si>
  <si>
    <t xml:space="preserve">   Operating activities:</t>
  </si>
  <si>
    <t xml:space="preserve">      Net income</t>
  </si>
  <si>
    <t xml:space="preserve">      Nuclear fuel and other amortization</t>
  </si>
  <si>
    <t xml:space="preserve">      Unrealized losses (gains) on MtM derivatives – net</t>
  </si>
  <si>
    <t xml:space="preserve">      Unrealized losses (gains) on equity securities – NDF</t>
  </si>
  <si>
    <t xml:space="preserve">      Foreign currency transaction losses (gains)</t>
  </si>
  <si>
    <t xml:space="preserve">      Deferred income taxes</t>
  </si>
  <si>
    <t xml:space="preserve">      Cost recovery clauses and franchise fees</t>
  </si>
  <si>
    <t xml:space="preserve">      Equity in losses (earnings) of equity method investees</t>
  </si>
  <si>
    <t xml:space="preserve">      Distributions of earnings from equity method investees</t>
  </si>
  <si>
    <t xml:space="preserve">      Gains on disposal of businesses/assets/investments – net</t>
  </si>
  <si>
    <t xml:space="preserve">      Recoverable storm-related costs</t>
  </si>
  <si>
    <t xml:space="preserve">      Change in current assets</t>
  </si>
  <si>
    <t xml:space="preserve">      Change in noncurrent assets</t>
  </si>
  <si>
    <t xml:space="preserve">      Change in current liabilities</t>
  </si>
  <si>
    <t xml:space="preserve">      Change in noncurrent liabilities</t>
  </si>
  <si>
    <t>Net cash provided by operating activities</t>
  </si>
  <si>
    <t xml:space="preserve">   Investing activities:</t>
  </si>
  <si>
    <t xml:space="preserve">      Capital expenditures of FPL</t>
  </si>
  <si>
    <t xml:space="preserve">      Independent power and other investments of NEER</t>
  </si>
  <si>
    <t xml:space="preserve">      Nuclear fuel purchases</t>
  </si>
  <si>
    <t xml:space="preserve">      Other capital expenditures</t>
  </si>
  <si>
    <t xml:space="preserve">      Proceeds from sale of Florida City Gas business</t>
  </si>
  <si>
    <t xml:space="preserve">      Sale of independent power and other investments of NEER</t>
  </si>
  <si>
    <t xml:space="preserve">      Proceeds from sale/maturity of securities in special use funds</t>
  </si>
  <si>
    <t xml:space="preserve">      Purchases of securities in special use funds &amp; other</t>
  </si>
  <si>
    <t>Net cash used in investing activities</t>
  </si>
  <si>
    <t xml:space="preserve">   Financing activities:</t>
  </si>
  <si>
    <t xml:space="preserve">      Issuances of long-term debt</t>
  </si>
  <si>
    <t xml:space="preserve">      Retirements of long-term debt</t>
  </si>
  <si>
    <t xml:space="preserve">      Proceeds from differential membership investors</t>
  </si>
  <si>
    <t xml:space="preserve">      Payments to differential membership investors</t>
  </si>
  <si>
    <t xml:space="preserve">      Net change in commercial paper</t>
  </si>
  <si>
    <t xml:space="preserve">      Proceeds from other short-term debt</t>
  </si>
  <si>
    <t xml:space="preserve">      Repayments of other short-term debt</t>
  </si>
  <si>
    <t xml:space="preserve">      Cash swept from (repayments to) related parties – net</t>
  </si>
  <si>
    <t xml:space="preserve">      Issuances of common stock / equity units – net</t>
  </si>
  <si>
    <t xml:space="preserve">      Proceeds from sale of noncontrolling interests</t>
  </si>
  <si>
    <t xml:space="preserve">      Dividends on common stock</t>
  </si>
  <si>
    <t>Net cash provided by financing activities</t>
  </si>
  <si>
    <t xml:space="preserve">   Effects of currency translation on cash</t>
  </si>
  <si>
    <t>Net increase (decrease) in cash, equiv. &amp; restricted cash</t>
  </si>
  <si>
    <t xml:space="preserve">   Cash, cash equiv. &amp; restricted cash — beginning of year</t>
  </si>
  <si>
    <t>Cash, cash equiv. &amp; restricted cash — end of year</t>
  </si>
  <si>
    <t xml:space="preserve">   Memo: cash paid for interest (net of capitalized)</t>
  </si>
  <si>
    <t>BALANCE SHEET</t>
  </si>
  <si>
    <t xml:space="preserve">   Current assets:</t>
  </si>
  <si>
    <t xml:space="preserve">      Cash and cash equivalents</t>
  </si>
  <si>
    <t xml:space="preserve">      Customer receivables, net</t>
  </si>
  <si>
    <t xml:space="preserve">      Other receivables</t>
  </si>
  <si>
    <t xml:space="preserve">      Materials, supplies and fuel inventory</t>
  </si>
  <si>
    <t xml:space="preserve">      Regulatory assets</t>
  </si>
  <si>
    <t xml:space="preserve">      Derivatives</t>
  </si>
  <si>
    <t xml:space="preserve">      Contract assets</t>
  </si>
  <si>
    <t xml:space="preserve">      Other</t>
  </si>
  <si>
    <t>Total current assets</t>
  </si>
  <si>
    <t xml:space="preserve">   Noncurrent assets:</t>
  </si>
  <si>
    <t xml:space="preserve">      Property, plant and equipment – net</t>
  </si>
  <si>
    <t xml:space="preserve">      Special use funds</t>
  </si>
  <si>
    <t xml:space="preserve">      Investment in equity method investees</t>
  </si>
  <si>
    <t xml:space="preserve">      Prepaid benefit costs</t>
  </si>
  <si>
    <t xml:space="preserve">      Goodwill</t>
  </si>
  <si>
    <t>Total noncurrent assets</t>
  </si>
  <si>
    <t>TOTAL ASSETS</t>
  </si>
  <si>
    <t xml:space="preserve">   Current liabilities:</t>
  </si>
  <si>
    <t xml:space="preserve">      Commercial paper</t>
  </si>
  <si>
    <t xml:space="preserve">      Other short-term debt</t>
  </si>
  <si>
    <t xml:space="preserve">      Current portion of long-term debt</t>
  </si>
  <si>
    <t xml:space="preserve">      Accounts payable</t>
  </si>
  <si>
    <t xml:space="preserve">      Customer deposits</t>
  </si>
  <si>
    <t xml:space="preserve">      Accrued interest and taxes</t>
  </si>
  <si>
    <t xml:space="preserve">      Accrued construction-related expenditures</t>
  </si>
  <si>
    <t xml:space="preserve">      Regulatory liabilities</t>
  </si>
  <si>
    <t>Total current liabilities</t>
  </si>
  <si>
    <t xml:space="preserve">   Noncurrent liabilities &amp; deferred credits:</t>
  </si>
  <si>
    <t xml:space="preserve">      Long-term debt</t>
  </si>
  <si>
    <t xml:space="preserve">      Asset retirement obligations</t>
  </si>
  <si>
    <t>Total noncurrent liabilities &amp; deferred credits</t>
  </si>
  <si>
    <t>TOTAL LIABILITIES</t>
  </si>
  <si>
    <t xml:space="preserve">   Redeemable noncontrolling interests – VIEs</t>
  </si>
  <si>
    <t xml:space="preserve">   Equity:</t>
  </si>
  <si>
    <t xml:space="preserve">      Common stock</t>
  </si>
  <si>
    <t xml:space="preserve">      Additional paid-in capital</t>
  </si>
  <si>
    <t xml:space="preserve">      Retained earnings</t>
  </si>
  <si>
    <t xml:space="preserve">      Accumulated other comprehensive income (loss)</t>
  </si>
  <si>
    <t>Total common shareholders' equity</t>
  </si>
  <si>
    <t xml:space="preserve">   Noncontrolling interests</t>
  </si>
  <si>
    <t>TOTAL EQUITY</t>
  </si>
  <si>
    <t>TOTAL LIABILITIES, REDEEMABLE NCI &amp; EQUITY</t>
  </si>
  <si>
    <t>DEPRECIATION SCHEDULE  (PP&amp;E, net roll-forward)</t>
  </si>
  <si>
    <t xml:space="preserve">   PP&amp;E, net — beginning of year</t>
  </si>
  <si>
    <t xml:space="preserve">   Capital expenditures — FPL</t>
  </si>
  <si>
    <t xml:space="preserve">   Capital expenditures — NEER (independent power &amp; other)</t>
  </si>
  <si>
    <t xml:space="preserve">   Capital expenditures — other</t>
  </si>
  <si>
    <t xml:space="preserve">   Nuclear fuel purchases</t>
  </si>
  <si>
    <t>Total capital expenditures</t>
  </si>
  <si>
    <t xml:space="preserve">   Less: depreciation and amortization</t>
  </si>
  <si>
    <t xml:space="preserve">   Less: nuclear fuel and other amortization</t>
  </si>
  <si>
    <t xml:space="preserve">   Other — disposals, ARO, AFUDC, acq. &amp; reclass. (plug)</t>
  </si>
  <si>
    <t>PP&amp;E, net — end of year</t>
  </si>
  <si>
    <t xml:space="preserve">   Memo: D&amp;A as % of beginning PP&amp;E, net</t>
  </si>
  <si>
    <t>WORKING CAPITAL SCHEDULE</t>
  </si>
  <si>
    <t xml:space="preserve">   Operating current assets:</t>
  </si>
  <si>
    <t>Total operating current assets</t>
  </si>
  <si>
    <t xml:space="preserve">   Operating current liabilities:</t>
  </si>
  <si>
    <t>Total operating current liabilities</t>
  </si>
  <si>
    <t>Net operating working capital</t>
  </si>
  <si>
    <t xml:space="preserve">   Change in net operating working capital</t>
  </si>
  <si>
    <t xml:space="preserve">   Ratios:</t>
  </si>
  <si>
    <t xml:space="preserve">      Days sales outstanding (customer receiv. / revenue × 365)</t>
  </si>
  <si>
    <t xml:space="preserve">      Inventory days (inventory / fuel&amp;purch. power × 365)</t>
  </si>
  <si>
    <t xml:space="preserve">      Days payable (A/P / (fuel + O&amp;M) × 365)</t>
  </si>
  <si>
    <t>DEBT SCHEDULE</t>
  </si>
  <si>
    <t xml:space="preserve">   Debt balances (end of year):</t>
  </si>
  <si>
    <t xml:space="preserve">      Long-term debt (noncurrent)</t>
  </si>
  <si>
    <t>Total debt — end of year</t>
  </si>
  <si>
    <t xml:space="preserve">   Total debt — beginning of year</t>
  </si>
  <si>
    <t xml:space="preserve">   Financing cash flows:</t>
  </si>
  <si>
    <t xml:space="preserve">   Interest:</t>
  </si>
  <si>
    <t xml:space="preserve">      Interest expense (income statement, gross)</t>
  </si>
  <si>
    <t xml:space="preserve">      Cash paid for interest (net of capitalized)</t>
  </si>
  <si>
    <t xml:space="preserve">      Effective rate on avg. total debt (cash interest basis)</t>
  </si>
  <si>
    <t>DDM Assumptions — NextEra Energy, Inc. (NEE)</t>
  </si>
  <si>
    <t>Base-year dividend / share  (2025A)</t>
  </si>
  <si>
    <t>Terminal growth rate  (g∞)</t>
  </si>
  <si>
    <t>FPL segment comparables</t>
  </si>
  <si>
    <t>Levered β</t>
  </si>
  <si>
    <t>Marg. tax</t>
  </si>
  <si>
    <t>D/E</t>
  </si>
  <si>
    <t>Unlevered β</t>
  </si>
  <si>
    <t>Average unlevered β — FPL</t>
  </si>
  <si>
    <t>NEER segment comparables</t>
  </si>
  <si>
    <t>Average unlevered β — NEER</t>
  </si>
  <si>
    <t>NEE bottom-up beta</t>
  </si>
  <si>
    <t>FPL unlevered β</t>
  </si>
  <si>
    <t>FPL weight (% of revenue)</t>
  </si>
  <si>
    <t>NEER unlevered β</t>
  </si>
  <si>
    <t>NEER weight (% of revenue)</t>
  </si>
  <si>
    <t>NEE blended unlevered β</t>
  </si>
  <si>
    <t>Marginal tax rate</t>
  </si>
  <si>
    <t>D/E (market)  = $95.6B ÷ $184B</t>
  </si>
  <si>
    <t>NEE levered beta</t>
  </si>
  <si>
    <t xml:space="preserve">Segment Cost of Equity </t>
  </si>
  <si>
    <t>Cost of equity</t>
  </si>
  <si>
    <t>FPL (regulated)</t>
  </si>
  <si>
    <t>NEER (competitive)</t>
  </si>
  <si>
    <t>NEE (blended)</t>
  </si>
  <si>
    <t>Valuation Date: 08/03/2026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</si>
</sst>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_-;_-@_-"/>
    <numFmt numFmtId="165" formatCode="\$#,##0.00"/>
    <numFmt numFmtId="166" formatCode="0.0\x"/>
    <numFmt numFmtId="167" formatCode="0.0%"/>
    <numFmt numFmtId="168" formatCode="m/d/yyyy"/>
    <numFmt numFmtId="169" formatCode="0.000"/>
    <numFmt numFmtId="170" formatCode="0.0"/>
    <numFmt numFmtId="171" formatCode="_-* #,##0_-;\(#,##0\)_-;_-* \-_-;_-@_-"/>
    <numFmt numFmtId="172" formatCode="0.0000"/>
    <numFmt numFmtId="173" formatCode="#,##0.0"/>
    <numFmt numFmtId="174" formatCode="0.00\x"/>
    <numFmt numFmtId="175" formatCode="#,##0;\(#,##0\)"/>
  </numFmts>
  <fonts count="50" x14ac:knownFonts="1">
    <font>
      <sz val="12"/>
      <color theme="1"/>
      <name val="Cambria"/>
      <family val="2"/>
      <charset val="1"/>
    </font>
    <font>
      <sz val="10"/>
      <name val="Arial"/>
      <family val="2"/>
    </font>
    <font>
      <sz val="11"/>
      <color theme="1"/>
      <name val="Cambria"/>
      <family val="2"/>
      <charset val="1"/>
    </font>
    <font>
      <b/>
      <sz val="14"/>
      <color rgb="FFFFFFFF"/>
      <name val="Cambria"/>
      <family val="1"/>
      <charset val="1"/>
    </font>
    <font>
      <b/>
      <sz val="11"/>
      <color rgb="FFFFFFFF"/>
      <name val="Cambria"/>
      <family val="1"/>
      <charset val="1"/>
    </font>
    <font>
      <sz val="10"/>
      <name val="Cambria"/>
      <family val="1"/>
      <charset val="1"/>
    </font>
    <font>
      <b/>
      <sz val="10"/>
      <name val="Cambria"/>
      <family val="1"/>
      <charset val="1"/>
    </font>
    <font>
      <b/>
      <sz val="11"/>
      <color theme="0"/>
      <name val="Cambria"/>
      <family val="1"/>
      <charset val="1"/>
    </font>
    <font>
      <b/>
      <sz val="9"/>
      <color theme="1"/>
      <name val="Cambria"/>
      <family val="1"/>
      <charset val="1"/>
    </font>
    <font>
      <sz val="9"/>
      <name val="Cambria"/>
      <family val="1"/>
      <charset val="1"/>
    </font>
    <font>
      <sz val="12"/>
      <color theme="1"/>
      <name val="Cambria"/>
      <family val="1"/>
      <charset val="1"/>
    </font>
    <font>
      <sz val="12"/>
      <color theme="0"/>
      <name val="Cambria"/>
      <family val="1"/>
      <charset val="1"/>
    </font>
    <font>
      <sz val="11"/>
      <color theme="1"/>
      <name val="Cambria"/>
      <family val="1"/>
      <charset val="1"/>
    </font>
    <font>
      <b/>
      <sz val="11"/>
      <color rgb="FF0070C0"/>
      <name val="Cambria"/>
      <family val="1"/>
      <charset val="1"/>
    </font>
    <font>
      <sz val="11"/>
      <color rgb="FF0070C0"/>
      <name val="Cambria"/>
      <family val="1"/>
      <charset val="1"/>
    </font>
    <font>
      <sz val="11"/>
      <color rgb="FF000000"/>
      <name val="Cambria"/>
      <family val="1"/>
      <charset val="1"/>
    </font>
    <font>
      <b/>
      <sz val="10"/>
      <color rgb="FF0070C0"/>
      <name val="Cambria"/>
      <family val="1"/>
      <charset val="1"/>
    </font>
    <font>
      <b/>
      <sz val="11"/>
      <name val="Cambria"/>
      <family val="1"/>
      <charset val="1"/>
    </font>
    <font>
      <sz val="12"/>
      <color rgb="FF000000"/>
      <name val="Cambria"/>
      <family val="1"/>
      <charset val="1"/>
    </font>
    <font>
      <b/>
      <sz val="11"/>
      <color rgb="FF000000"/>
      <name val="Cambria"/>
      <family val="1"/>
      <charset val="1"/>
    </font>
    <font>
      <b/>
      <sz val="12"/>
      <name val="Cambria"/>
      <family val="1"/>
      <charset val="1"/>
    </font>
    <font>
      <sz val="10"/>
      <color rgb="FF000000"/>
      <name val="Cambria"/>
      <family val="1"/>
      <charset val="1"/>
    </font>
    <font>
      <sz val="12"/>
      <name val="Cambria"/>
      <family val="1"/>
      <charset val="1"/>
    </font>
    <font>
      <b/>
      <sz val="12"/>
      <color theme="1"/>
      <name val="Cambria"/>
      <family val="1"/>
      <charset val="1"/>
    </font>
    <font>
      <b/>
      <i/>
      <sz val="10"/>
      <name val="Cambria"/>
      <family val="1"/>
      <charset val="1"/>
    </font>
    <font>
      <b/>
      <sz val="10"/>
      <color rgb="FF000000"/>
      <name val="Cambria"/>
      <family val="1"/>
      <charset val="1"/>
    </font>
    <font>
      <b/>
      <sz val="10"/>
      <color theme="0"/>
      <name val="Cambria"/>
      <family val="1"/>
      <charset val="1"/>
    </font>
    <font>
      <i/>
      <sz val="10"/>
      <color rgb="FF000000"/>
      <name val="Cambria"/>
      <family val="1"/>
      <charset val="1"/>
    </font>
    <font>
      <i/>
      <sz val="9"/>
      <color rgb="FF000000"/>
      <name val="Cambria"/>
      <family val="1"/>
      <charset val="1"/>
    </font>
    <font>
      <b/>
      <sz val="11"/>
      <color theme="1"/>
      <name val="Cambria"/>
      <family val="1"/>
      <charset val="1"/>
    </font>
    <font>
      <i/>
      <sz val="8"/>
      <color rgb="FF000000"/>
      <name val="Cambria"/>
      <family val="1"/>
      <charset val="1"/>
    </font>
    <font>
      <sz val="11"/>
      <name val="Cambria"/>
      <family val="1"/>
      <charset val="1"/>
    </font>
    <font>
      <i/>
      <sz val="11"/>
      <color rgb="FF000000"/>
      <name val="Cambria"/>
      <family val="1"/>
      <charset val="1"/>
    </font>
    <font>
      <sz val="10"/>
      <color theme="1"/>
      <name val="Cambria"/>
      <family val="1"/>
      <charset val="1"/>
    </font>
    <font>
      <b/>
      <sz val="10"/>
      <color theme="1"/>
      <name val="Cambria"/>
      <family val="1"/>
      <charset val="1"/>
    </font>
    <font>
      <sz val="12"/>
      <color rgb="FFFFFFFF"/>
      <name val="Cambria"/>
      <family val="1"/>
      <charset val="1"/>
    </font>
    <font>
      <i/>
      <sz val="12"/>
      <name val="Cambria"/>
      <family val="1"/>
      <charset val="1"/>
    </font>
    <font>
      <i/>
      <sz val="9"/>
      <color theme="1"/>
      <name val="Cambria"/>
      <family val="1"/>
      <charset val="1"/>
    </font>
    <font>
      <b/>
      <sz val="10.5"/>
      <color theme="1"/>
      <name val="Cambria"/>
      <family val="1"/>
      <charset val="1"/>
    </font>
    <font>
      <b/>
      <sz val="9.5"/>
      <color theme="1"/>
      <name val="Cambria"/>
      <family val="1"/>
      <charset val="1"/>
    </font>
    <font>
      <sz val="10"/>
      <color rgb="FF000000"/>
      <name val="Arial"/>
      <family val="2"/>
    </font>
    <font>
      <sz val="11"/>
      <color theme="0"/>
      <name val="Cambria"/>
      <family val="1"/>
      <charset val="1"/>
    </font>
    <font>
      <sz val="10"/>
      <color rgb="FF000000"/>
      <name val="Tahoma"/>
      <family val="2"/>
    </font>
    <font>
      <i/>
      <sz val="9"/>
      <color theme="1"/>
      <name val="Cambria"/>
      <family val="1"/>
    </font>
    <font>
      <b/>
      <sz val="13"/>
      <color rgb="FFFFFFFF"/>
      <name val="Cambria"/>
      <family val="1"/>
    </font>
    <font>
      <sz val="13"/>
      <color theme="1"/>
      <name val="Cambria"/>
      <family val="1"/>
    </font>
    <font>
      <i/>
      <sz val="13"/>
      <color theme="1"/>
      <name val="Cambria"/>
      <family val="1"/>
    </font>
    <font>
      <b/>
      <sz val="13"/>
      <name val="Cambria"/>
      <family val="1"/>
    </font>
    <font>
      <b/>
      <sz val="13"/>
      <color theme="1"/>
      <name val="Cambria"/>
      <family val="1"/>
    </font>
    <font>
      <sz val="13"/>
      <name val="Cambria"/>
      <family val="1"/>
    </font>
  </fonts>
  <fills count="12">
    <fill>
      <patternFill patternType="none"/>
    </fill>
    <fill>
      <patternFill patternType="gray125"/>
    </fill>
    <fill>
      <patternFill patternType="solid">
        <fgColor rgb="FF281E5D"/>
        <bgColor rgb="FF281F5D"/>
      </patternFill>
    </fill>
    <fill>
      <patternFill patternType="solid">
        <fgColor rgb="FFB4C7E7"/>
        <bgColor rgb="FFBFBFBF"/>
      </patternFill>
    </fill>
    <fill>
      <patternFill patternType="solid">
        <fgColor rgb="FFF2A983"/>
        <bgColor rgb="FFBFBFBF"/>
      </patternFill>
    </fill>
    <fill>
      <patternFill patternType="solid">
        <fgColor rgb="FFFFF7DC"/>
        <bgColor rgb="FFFFFFFF"/>
      </patternFill>
    </fill>
    <fill>
      <patternFill patternType="solid">
        <fgColor rgb="FFDDEBF7"/>
        <bgColor rgb="FFDEEBF8"/>
      </patternFill>
    </fill>
    <fill>
      <patternFill patternType="solid">
        <fgColor rgb="FFDEEBF8"/>
        <bgColor rgb="FFDDEBF7"/>
      </patternFill>
    </fill>
    <fill>
      <patternFill patternType="solid">
        <fgColor rgb="FFFCE4D6"/>
        <bgColor rgb="FFFFF7DC"/>
      </patternFill>
    </fill>
    <fill>
      <patternFill patternType="solid">
        <fgColor rgb="FFB0DDD1"/>
        <bgColor rgb="FFCADFF4"/>
      </patternFill>
    </fill>
    <fill>
      <patternFill patternType="solid">
        <fgColor rgb="FFDAE2F2"/>
        <bgColor rgb="FFD9E1F2"/>
      </patternFill>
    </fill>
    <fill>
      <patternFill patternType="solid">
        <fgColor rgb="FFD9E1F2"/>
        <bgColor rgb="FFDAE2F2"/>
      </patternFill>
    </fill>
  </fills>
  <borders count="25">
    <border>
      <left/>
      <right/>
      <top/>
      <bottom/>
      <diagonal/>
    </border>
    <border>
      <left style="thin">
        <color rgb="FFB5B5B5"/>
      </left>
      <right style="thin">
        <color rgb="FFB5B5B5"/>
      </right>
      <top style="thin">
        <color rgb="FFB5B5B5"/>
      </top>
      <bottom style="thin">
        <color rgb="FFB5B5B5"/>
      </bottom>
      <diagonal/>
    </border>
    <border>
      <left/>
      <right style="thin">
        <color rgb="FF9B9B9B"/>
      </right>
      <top/>
      <bottom/>
      <diagonal/>
    </border>
    <border>
      <left/>
      <right/>
      <top style="thin">
        <color rgb="FFBFBFBF"/>
      </top>
      <bottom/>
      <diagonal/>
    </border>
    <border>
      <left/>
      <right style="thin">
        <color rgb="FF9B9B9B"/>
      </right>
      <top style="thin">
        <color rgb="FFBFBFBF"/>
      </top>
      <bottom/>
      <diagonal/>
    </border>
    <border>
      <left/>
      <right/>
      <top/>
      <bottom style="thin">
        <color rgb="FFBFBFBF"/>
      </bottom>
      <diagonal/>
    </border>
    <border>
      <left/>
      <right style="thin">
        <color rgb="FF9B9B9B"/>
      </right>
      <top/>
      <bottom style="thin">
        <color rgb="FFBFBFBF"/>
      </bottom>
      <diagonal/>
    </border>
    <border>
      <left/>
      <right/>
      <top style="thin">
        <color rgb="FFBFBFBF"/>
      </top>
      <bottom style="thin">
        <color rgb="FFBFBFBF"/>
      </bottom>
      <diagonal/>
    </border>
    <border>
      <left/>
      <right style="thin">
        <color rgb="FF9B9B9B"/>
      </right>
      <top style="thin">
        <color rgb="FFBFBFBF"/>
      </top>
      <bottom style="thin">
        <color rgb="FFBFBFBF"/>
      </bottom>
      <diagonal/>
    </border>
    <border>
      <left/>
      <right/>
      <top style="thin">
        <color rgb="FF808080"/>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rgb="FFB0B0B0"/>
      </bottom>
      <diagonal/>
    </border>
    <border>
      <left/>
      <right/>
      <top/>
      <bottom style="thin">
        <color rgb="FFB0B0B0"/>
      </bottom>
      <diagonal/>
    </border>
    <border>
      <left/>
      <right style="thin">
        <color auto="1"/>
      </right>
      <top/>
      <bottom style="thin">
        <color rgb="FFB0B0B0"/>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style="thin">
        <color rgb="FFB0B0B0"/>
      </top>
      <bottom style="thin">
        <color auto="1"/>
      </bottom>
      <diagonal/>
    </border>
    <border>
      <left style="thin">
        <color auto="1"/>
      </left>
      <right/>
      <top style="thin">
        <color rgb="FFB0B0B0"/>
      </top>
      <bottom style="thin">
        <color auto="1"/>
      </bottom>
      <diagonal/>
    </border>
  </borders>
  <cellStyleXfs count="4">
    <xf numFmtId="0" fontId="0" fillId="0" borderId="0"/>
    <xf numFmtId="164" fontId="2" fillId="0" borderId="0"/>
    <xf numFmtId="0" fontId="2" fillId="0" borderId="0"/>
    <xf numFmtId="9" fontId="2" fillId="0" borderId="0"/>
  </cellStyleXfs>
  <cellXfs count="234">
    <xf numFmtId="0" fontId="0" fillId="0" borderId="0" xfId="0"/>
    <xf numFmtId="0" fontId="3" fillId="2" borderId="0" xfId="0" applyFont="1" applyFill="1"/>
    <xf numFmtId="0" fontId="0" fillId="2" borderId="0" xfId="0" applyFill="1"/>
    <xf numFmtId="0" fontId="4" fillId="2" borderId="1" xfId="0" applyFont="1" applyFill="1" applyBorder="1"/>
    <xf numFmtId="0" fontId="0" fillId="2" borderId="1" xfId="0" applyFill="1" applyBorder="1"/>
    <xf numFmtId="0" fontId="5" fillId="0" borderId="1" xfId="0" applyFont="1" applyBorder="1"/>
    <xf numFmtId="165" fontId="6" fillId="0" borderId="1" xfId="0" applyNumberFormat="1" applyFont="1" applyBorder="1"/>
    <xf numFmtId="0" fontId="7" fillId="2" borderId="1" xfId="0" applyFont="1" applyFill="1" applyBorder="1"/>
    <xf numFmtId="0" fontId="8" fillId="3" borderId="1" xfId="0" applyFont="1" applyFill="1" applyBorder="1" applyAlignment="1">
      <alignment horizontal="right"/>
    </xf>
    <xf numFmtId="0" fontId="8" fillId="4" borderId="1" xfId="0" applyFont="1" applyFill="1" applyBorder="1" applyAlignment="1">
      <alignment horizontal="right"/>
    </xf>
    <xf numFmtId="3" fontId="9" fillId="0" borderId="1" xfId="0" applyNumberFormat="1" applyFont="1" applyBorder="1"/>
    <xf numFmtId="2" fontId="9" fillId="0" borderId="1" xfId="0" applyNumberFormat="1" applyFont="1" applyBorder="1"/>
    <xf numFmtId="166" fontId="9" fillId="0" borderId="1" xfId="0" applyNumberFormat="1" applyFont="1" applyBorder="1"/>
    <xf numFmtId="167" fontId="9" fillId="0" borderId="1" xfId="0" applyNumberFormat="1" applyFont="1" applyBorder="1"/>
    <xf numFmtId="0" fontId="5" fillId="0" borderId="0" xfId="0" applyFont="1"/>
    <xf numFmtId="167" fontId="9" fillId="0" borderId="0" xfId="0" applyNumberFormat="1" applyFont="1"/>
    <xf numFmtId="166" fontId="9" fillId="0" borderId="0" xfId="0" applyNumberFormat="1" applyFont="1"/>
    <xf numFmtId="0" fontId="10" fillId="0" borderId="0" xfId="0" applyFont="1"/>
    <xf numFmtId="0" fontId="11" fillId="2" borderId="0" xfId="0" applyFont="1" applyFill="1"/>
    <xf numFmtId="0" fontId="12" fillId="3" borderId="0" xfId="0" applyFont="1" applyFill="1" applyAlignment="1">
      <alignment horizontal="right"/>
    </xf>
    <xf numFmtId="0" fontId="12" fillId="3" borderId="2" xfId="0" applyFont="1" applyFill="1" applyBorder="1" applyAlignment="1">
      <alignment horizontal="right"/>
    </xf>
    <xf numFmtId="0" fontId="12" fillId="4" borderId="0" xfId="0" applyFont="1" applyFill="1" applyAlignment="1">
      <alignment horizontal="right"/>
    </xf>
    <xf numFmtId="0" fontId="10" fillId="0" borderId="2" xfId="0" applyFont="1" applyBorder="1"/>
    <xf numFmtId="0" fontId="13" fillId="0" borderId="0" xfId="0" applyFont="1"/>
    <xf numFmtId="167" fontId="10" fillId="0" borderId="0" xfId="0" applyNumberFormat="1" applyFont="1"/>
    <xf numFmtId="167" fontId="10" fillId="0" borderId="2" xfId="0" applyNumberFormat="1" applyFont="1" applyBorder="1"/>
    <xf numFmtId="167" fontId="14" fillId="0" borderId="0" xfId="0" applyNumberFormat="1" applyFont="1"/>
    <xf numFmtId="37" fontId="10" fillId="0" borderId="0" xfId="0" applyNumberFormat="1" applyFont="1"/>
    <xf numFmtId="37" fontId="10" fillId="0" borderId="2" xfId="0" applyNumberFormat="1" applyFont="1" applyBorder="1"/>
    <xf numFmtId="0" fontId="6" fillId="0" borderId="3" xfId="0" applyFont="1" applyBorder="1"/>
    <xf numFmtId="37" fontId="6" fillId="0" borderId="3" xfId="0" applyNumberFormat="1" applyFont="1" applyBorder="1"/>
    <xf numFmtId="37" fontId="6" fillId="0" borderId="4" xfId="0" applyNumberFormat="1" applyFont="1" applyBorder="1"/>
    <xf numFmtId="0" fontId="5" fillId="0" borderId="5" xfId="0" applyFont="1" applyBorder="1"/>
    <xf numFmtId="37" fontId="10" fillId="0" borderId="5" xfId="0" applyNumberFormat="1" applyFont="1" applyBorder="1"/>
    <xf numFmtId="37" fontId="10" fillId="0" borderId="6" xfId="0" applyNumberFormat="1" applyFont="1" applyBorder="1"/>
    <xf numFmtId="0" fontId="6" fillId="0" borderId="0" xfId="0" applyFont="1"/>
    <xf numFmtId="37" fontId="6" fillId="0" borderId="0" xfId="0" applyNumberFormat="1" applyFont="1"/>
    <xf numFmtId="37" fontId="6" fillId="0" borderId="2" xfId="0" applyNumberFormat="1" applyFont="1" applyBorder="1"/>
    <xf numFmtId="37" fontId="15" fillId="0" borderId="0" xfId="0" applyNumberFormat="1" applyFont="1"/>
    <xf numFmtId="37" fontId="15" fillId="0" borderId="2" xfId="0" applyNumberFormat="1" applyFont="1" applyBorder="1"/>
    <xf numFmtId="37" fontId="12" fillId="0" borderId="0" xfId="0" applyNumberFormat="1" applyFont="1"/>
    <xf numFmtId="0" fontId="6" fillId="0" borderId="7" xfId="0" applyFont="1" applyBorder="1"/>
    <xf numFmtId="37" fontId="6" fillId="0" borderId="7" xfId="0" applyNumberFormat="1" applyFont="1" applyBorder="1"/>
    <xf numFmtId="37" fontId="6" fillId="0" borderId="8" xfId="0" applyNumberFormat="1" applyFont="1" applyBorder="1"/>
    <xf numFmtId="0" fontId="16" fillId="0" borderId="3" xfId="0" applyFont="1" applyBorder="1"/>
    <xf numFmtId="37" fontId="17" fillId="0" borderId="3" xfId="0" applyNumberFormat="1" applyFont="1" applyBorder="1"/>
    <xf numFmtId="37" fontId="17" fillId="0" borderId="4" xfId="0" applyNumberFormat="1" applyFont="1" applyBorder="1"/>
    <xf numFmtId="0" fontId="18" fillId="0" borderId="0" xfId="0" applyFont="1"/>
    <xf numFmtId="0" fontId="3" fillId="0" borderId="0" xfId="0" applyFont="1"/>
    <xf numFmtId="0" fontId="19" fillId="0" borderId="5" xfId="0" applyFont="1" applyBorder="1"/>
    <xf numFmtId="0" fontId="18" fillId="0" borderId="5" xfId="0" applyFont="1" applyBorder="1"/>
    <xf numFmtId="10" fontId="18" fillId="0" borderId="0" xfId="0" applyNumberFormat="1" applyFont="1" applyAlignment="1">
      <alignment horizontal="right"/>
    </xf>
    <xf numFmtId="2" fontId="18" fillId="0" borderId="0" xfId="0" applyNumberFormat="1" applyFont="1" applyAlignment="1">
      <alignment horizontal="right"/>
    </xf>
    <xf numFmtId="0" fontId="20" fillId="0" borderId="0" xfId="0" applyFont="1"/>
    <xf numFmtId="10" fontId="20" fillId="0" borderId="0" xfId="0" applyNumberFormat="1" applyFont="1" applyAlignment="1">
      <alignment horizontal="right"/>
    </xf>
    <xf numFmtId="167" fontId="21" fillId="0" borderId="0" xfId="0" applyNumberFormat="1" applyFont="1" applyAlignment="1">
      <alignment horizontal="right"/>
    </xf>
    <xf numFmtId="166" fontId="21" fillId="0" borderId="5" xfId="0" applyNumberFormat="1" applyFont="1" applyBorder="1" applyAlignment="1">
      <alignment horizontal="right"/>
    </xf>
    <xf numFmtId="4" fontId="18" fillId="0" borderId="0" xfId="0" applyNumberFormat="1" applyFont="1" applyAlignment="1">
      <alignment horizontal="right"/>
    </xf>
    <xf numFmtId="165" fontId="18" fillId="0" borderId="0" xfId="0" applyNumberFormat="1" applyFont="1" applyAlignment="1">
      <alignment horizontal="right"/>
    </xf>
    <xf numFmtId="168" fontId="18" fillId="0" borderId="0" xfId="0" applyNumberFormat="1" applyFont="1"/>
    <xf numFmtId="167" fontId="18" fillId="0" borderId="0" xfId="0" applyNumberFormat="1" applyFont="1"/>
    <xf numFmtId="167" fontId="21" fillId="0" borderId="0" xfId="0" applyNumberFormat="1" applyFont="1"/>
    <xf numFmtId="0" fontId="19" fillId="0" borderId="0" xfId="0" applyFont="1"/>
    <xf numFmtId="0" fontId="20" fillId="0" borderId="7" xfId="0" applyFont="1" applyBorder="1"/>
    <xf numFmtId="1" fontId="20" fillId="0" borderId="7" xfId="0" applyNumberFormat="1" applyFont="1" applyBorder="1" applyAlignment="1">
      <alignment horizontal="right"/>
    </xf>
    <xf numFmtId="0" fontId="22" fillId="0" borderId="0" xfId="0" applyFont="1"/>
    <xf numFmtId="10" fontId="10" fillId="0" borderId="0" xfId="0" applyNumberFormat="1" applyFont="1"/>
    <xf numFmtId="0" fontId="23" fillId="0" borderId="0" xfId="0" applyFont="1"/>
    <xf numFmtId="4" fontId="20" fillId="0" borderId="0" xfId="0" applyNumberFormat="1" applyFont="1"/>
    <xf numFmtId="0" fontId="24" fillId="0" borderId="0" xfId="0" applyFont="1"/>
    <xf numFmtId="169" fontId="19" fillId="0" borderId="0" xfId="0" applyNumberFormat="1" applyFont="1"/>
    <xf numFmtId="170" fontId="21" fillId="0" borderId="0" xfId="0" applyNumberFormat="1" applyFont="1"/>
    <xf numFmtId="171" fontId="21" fillId="0" borderId="5" xfId="0" applyNumberFormat="1" applyFont="1" applyBorder="1" applyAlignment="1">
      <alignment horizontal="right"/>
    </xf>
    <xf numFmtId="171" fontId="21" fillId="0" borderId="0" xfId="0" applyNumberFormat="1" applyFont="1" applyAlignment="1">
      <alignment horizontal="right"/>
    </xf>
    <xf numFmtId="4" fontId="21" fillId="0" borderId="0" xfId="0" applyNumberFormat="1" applyFont="1" applyAlignment="1">
      <alignment horizontal="right"/>
    </xf>
    <xf numFmtId="4" fontId="5" fillId="0" borderId="0" xfId="0" applyNumberFormat="1" applyFont="1"/>
    <xf numFmtId="171" fontId="21" fillId="0" borderId="0" xfId="0" applyNumberFormat="1" applyFont="1"/>
    <xf numFmtId="171" fontId="25" fillId="0" borderId="0" xfId="0" applyNumberFormat="1" applyFont="1"/>
    <xf numFmtId="4" fontId="20" fillId="0" borderId="9" xfId="0" applyNumberFormat="1" applyFont="1" applyBorder="1" applyAlignment="1">
      <alignment horizontal="right"/>
    </xf>
    <xf numFmtId="4" fontId="6" fillId="0" borderId="9" xfId="0" applyNumberFormat="1" applyFont="1" applyBorder="1"/>
    <xf numFmtId="169" fontId="21" fillId="0" borderId="0" xfId="0" applyNumberFormat="1" applyFont="1"/>
    <xf numFmtId="167" fontId="20" fillId="0" borderId="0" xfId="0" applyNumberFormat="1" applyFont="1"/>
    <xf numFmtId="0" fontId="10" fillId="0" borderId="5" xfId="0" applyFont="1" applyBorder="1"/>
    <xf numFmtId="0" fontId="0" fillId="0" borderId="5" xfId="0" applyBorder="1"/>
    <xf numFmtId="0" fontId="21" fillId="0" borderId="0" xfId="0" applyFont="1"/>
    <xf numFmtId="3" fontId="21" fillId="0" borderId="0" xfId="0" applyNumberFormat="1" applyFont="1"/>
    <xf numFmtId="165" fontId="6" fillId="0" borderId="0" xfId="0" applyNumberFormat="1" applyFont="1"/>
    <xf numFmtId="165" fontId="5" fillId="0" borderId="0" xfId="0" applyNumberFormat="1" applyFont="1"/>
    <xf numFmtId="167" fontId="6" fillId="0" borderId="0" xfId="0" applyNumberFormat="1" applyFont="1"/>
    <xf numFmtId="0" fontId="26" fillId="0" borderId="0" xfId="0" applyFont="1"/>
    <xf numFmtId="166" fontId="5" fillId="0" borderId="0" xfId="0" applyNumberFormat="1" applyFont="1"/>
    <xf numFmtId="167" fontId="5" fillId="0" borderId="0" xfId="0" applyNumberFormat="1" applyFont="1"/>
    <xf numFmtId="0" fontId="27" fillId="0" borderId="0" xfId="0" applyFont="1" applyAlignment="1">
      <alignment vertical="top" wrapText="1"/>
    </xf>
    <xf numFmtId="0" fontId="3" fillId="2" borderId="0" xfId="0" applyFont="1" applyFill="1" applyAlignment="1">
      <alignment vertical="center"/>
    </xf>
    <xf numFmtId="0" fontId="10" fillId="0" borderId="3" xfId="0" applyFont="1" applyBorder="1"/>
    <xf numFmtId="167" fontId="21" fillId="0" borderId="3" xfId="0" applyNumberFormat="1" applyFont="1" applyBorder="1" applyAlignment="1">
      <alignment horizontal="right"/>
    </xf>
    <xf numFmtId="0" fontId="28" fillId="0" borderId="3" xfId="0" applyFont="1" applyBorder="1"/>
    <xf numFmtId="165" fontId="21" fillId="0" borderId="0" xfId="0" applyNumberFormat="1" applyFont="1" applyAlignment="1">
      <alignment horizontal="right"/>
    </xf>
    <xf numFmtId="167" fontId="21" fillId="5" borderId="0" xfId="0" applyNumberFormat="1" applyFont="1" applyFill="1" applyAlignment="1">
      <alignment horizontal="right"/>
    </xf>
    <xf numFmtId="167" fontId="15" fillId="0" borderId="0" xfId="0" applyNumberFormat="1" applyFont="1"/>
    <xf numFmtId="167" fontId="15" fillId="0" borderId="0" xfId="0" applyNumberFormat="1" applyFont="1" applyAlignment="1">
      <alignment horizontal="right"/>
    </xf>
    <xf numFmtId="0" fontId="21" fillId="0" borderId="7" xfId="0" applyFont="1" applyBorder="1"/>
    <xf numFmtId="0" fontId="19" fillId="0" borderId="7" xfId="0" applyFont="1" applyBorder="1" applyAlignment="1">
      <alignment horizontal="center"/>
    </xf>
    <xf numFmtId="0" fontId="21" fillId="0" borderId="0" xfId="0" applyFont="1" applyAlignment="1">
      <alignment horizontal="right"/>
    </xf>
    <xf numFmtId="2" fontId="12" fillId="0" borderId="0" xfId="0" applyNumberFormat="1" applyFont="1" applyAlignment="1">
      <alignment horizontal="right"/>
    </xf>
    <xf numFmtId="172" fontId="21" fillId="0" borderId="0" xfId="0" applyNumberFormat="1" applyFont="1" applyAlignment="1">
      <alignment horizontal="right"/>
    </xf>
    <xf numFmtId="0" fontId="29" fillId="0" borderId="0" xfId="0" applyFont="1"/>
    <xf numFmtId="165" fontId="4" fillId="2" borderId="0" xfId="0" applyNumberFormat="1" applyFont="1" applyFill="1" applyAlignment="1">
      <alignment horizontal="right"/>
    </xf>
    <xf numFmtId="0" fontId="30" fillId="0" borderId="0" xfId="0" applyFont="1"/>
    <xf numFmtId="0" fontId="12" fillId="0" borderId="0" xfId="0" applyFont="1"/>
    <xf numFmtId="0" fontId="4" fillId="2" borderId="10" xfId="0" applyFont="1" applyFill="1" applyBorder="1"/>
    <xf numFmtId="0" fontId="4" fillId="0" borderId="11" xfId="0" applyFont="1" applyBorder="1"/>
    <xf numFmtId="0" fontId="13" fillId="0" borderId="10" xfId="0" applyFont="1" applyBorder="1"/>
    <xf numFmtId="0" fontId="13" fillId="0" borderId="11" xfId="0" applyFont="1" applyBorder="1"/>
    <xf numFmtId="0" fontId="31" fillId="0" borderId="10" xfId="0" applyFont="1" applyBorder="1"/>
    <xf numFmtId="3" fontId="12" fillId="0" borderId="10" xfId="0" applyNumberFormat="1" applyFont="1" applyBorder="1"/>
    <xf numFmtId="0" fontId="32" fillId="0" borderId="11" xfId="0" applyFont="1" applyBorder="1"/>
    <xf numFmtId="0" fontId="12" fillId="0" borderId="10" xfId="0" applyFont="1" applyBorder="1"/>
    <xf numFmtId="0" fontId="13" fillId="6" borderId="10" xfId="0" applyFont="1" applyFill="1" applyBorder="1"/>
    <xf numFmtId="4" fontId="13" fillId="6" borderId="10" xfId="0" applyNumberFormat="1" applyFont="1" applyFill="1" applyBorder="1"/>
    <xf numFmtId="0" fontId="12" fillId="7" borderId="10" xfId="0" applyFont="1" applyFill="1" applyBorder="1"/>
    <xf numFmtId="0" fontId="12" fillId="0" borderId="11" xfId="0" applyFont="1" applyBorder="1"/>
    <xf numFmtId="0" fontId="32" fillId="0" borderId="0" xfId="0" applyFont="1"/>
    <xf numFmtId="0" fontId="4" fillId="2" borderId="10" xfId="0" applyFont="1" applyFill="1" applyBorder="1" applyAlignment="1">
      <alignment horizontal="center"/>
    </xf>
    <xf numFmtId="0" fontId="32" fillId="0" borderId="10" xfId="0" applyFont="1" applyBorder="1" applyAlignment="1">
      <alignment horizontal="center"/>
    </xf>
    <xf numFmtId="4" fontId="29" fillId="0" borderId="10" xfId="0" applyNumberFormat="1" applyFont="1" applyBorder="1"/>
    <xf numFmtId="170" fontId="15" fillId="0" borderId="10" xfId="0" applyNumberFormat="1" applyFont="1" applyBorder="1"/>
    <xf numFmtId="173" fontId="12" fillId="0" borderId="10" xfId="0" applyNumberFormat="1" applyFont="1" applyBorder="1"/>
    <xf numFmtId="4" fontId="12" fillId="0" borderId="10" xfId="0" applyNumberFormat="1" applyFont="1" applyBorder="1"/>
    <xf numFmtId="166" fontId="12" fillId="0" borderId="10" xfId="0" applyNumberFormat="1" applyFont="1" applyBorder="1"/>
    <xf numFmtId="174" fontId="12" fillId="0" borderId="10" xfId="0" applyNumberFormat="1" applyFont="1" applyBorder="1"/>
    <xf numFmtId="167" fontId="12" fillId="0" borderId="10" xfId="0" applyNumberFormat="1" applyFont="1" applyBorder="1"/>
    <xf numFmtId="2" fontId="12" fillId="0" borderId="10" xfId="0" applyNumberFormat="1" applyFont="1" applyBorder="1"/>
    <xf numFmtId="0" fontId="17" fillId="8" borderId="10" xfId="0" applyFont="1" applyFill="1" applyBorder="1"/>
    <xf numFmtId="0" fontId="12" fillId="8" borderId="10" xfId="0" applyFont="1" applyFill="1" applyBorder="1"/>
    <xf numFmtId="170" fontId="17" fillId="8" borderId="10" xfId="0" applyNumberFormat="1" applyFont="1" applyFill="1" applyBorder="1"/>
    <xf numFmtId="166" fontId="17" fillId="8" borderId="10" xfId="0" applyNumberFormat="1" applyFont="1" applyFill="1" applyBorder="1"/>
    <xf numFmtId="174" fontId="17" fillId="8" borderId="10" xfId="0" applyNumberFormat="1" applyFont="1" applyFill="1" applyBorder="1"/>
    <xf numFmtId="167" fontId="17" fillId="8" borderId="10" xfId="0" applyNumberFormat="1" applyFont="1" applyFill="1" applyBorder="1"/>
    <xf numFmtId="170" fontId="32" fillId="6" borderId="10" xfId="0" applyNumberFormat="1" applyFont="1" applyFill="1" applyBorder="1" applyAlignment="1">
      <alignment horizontal="center"/>
    </xf>
    <xf numFmtId="0" fontId="13" fillId="9" borderId="10" xfId="0" applyFont="1" applyFill="1" applyBorder="1"/>
    <xf numFmtId="3" fontId="13" fillId="9" borderId="10" xfId="0" applyNumberFormat="1" applyFont="1" applyFill="1" applyBorder="1"/>
    <xf numFmtId="4" fontId="13" fillId="9" borderId="10" xfId="0" applyNumberFormat="1" applyFont="1" applyFill="1" applyBorder="1"/>
    <xf numFmtId="4" fontId="31" fillId="0" borderId="10" xfId="0" applyNumberFormat="1" applyFont="1" applyBorder="1"/>
    <xf numFmtId="0" fontId="17" fillId="0" borderId="10" xfId="0" applyFont="1" applyBorder="1"/>
    <xf numFmtId="167" fontId="17" fillId="0" borderId="10" xfId="0" applyNumberFormat="1" applyFont="1" applyBorder="1"/>
    <xf numFmtId="0" fontId="12" fillId="2" borderId="10" xfId="0" applyFont="1" applyFill="1" applyBorder="1"/>
    <xf numFmtId="166" fontId="17" fillId="0" borderId="10" xfId="0" applyNumberFormat="1" applyFont="1" applyBorder="1"/>
    <xf numFmtId="166" fontId="17" fillId="0" borderId="0" xfId="0" applyNumberFormat="1" applyFont="1"/>
    <xf numFmtId="166" fontId="29" fillId="0" borderId="10" xfId="0" applyNumberFormat="1" applyFont="1" applyBorder="1"/>
    <xf numFmtId="167" fontId="29" fillId="0" borderId="10" xfId="0" applyNumberFormat="1" applyFont="1" applyBorder="1"/>
    <xf numFmtId="167" fontId="17" fillId="0" borderId="0" xfId="0" applyNumberFormat="1" applyFont="1"/>
    <xf numFmtId="0" fontId="4" fillId="0" borderId="0" xfId="0" applyFont="1"/>
    <xf numFmtId="0" fontId="28" fillId="0" borderId="0" xfId="0" applyFont="1"/>
    <xf numFmtId="0" fontId="35" fillId="2" borderId="0" xfId="0" applyFont="1" applyFill="1"/>
    <xf numFmtId="0" fontId="35" fillId="2" borderId="0" xfId="0" applyFont="1" applyFill="1" applyAlignment="1">
      <alignment horizontal="right"/>
    </xf>
    <xf numFmtId="175" fontId="20" fillId="0" borderId="0" xfId="0" applyNumberFormat="1" applyFont="1"/>
    <xf numFmtId="0" fontId="36" fillId="0" borderId="0" xfId="0" applyFont="1"/>
    <xf numFmtId="175" fontId="22" fillId="0" borderId="0" xfId="0" applyNumberFormat="1" applyFont="1"/>
    <xf numFmtId="0" fontId="20" fillId="0" borderId="3" xfId="0" applyFont="1" applyBorder="1"/>
    <xf numFmtId="175" fontId="20" fillId="0" borderId="3" xfId="0" applyNumberFormat="1" applyFont="1" applyBorder="1"/>
    <xf numFmtId="0" fontId="22" fillId="0" borderId="5" xfId="0" applyFont="1" applyBorder="1"/>
    <xf numFmtId="175" fontId="22" fillId="0" borderId="5" xfId="0" applyNumberFormat="1" applyFont="1" applyBorder="1"/>
    <xf numFmtId="175" fontId="36" fillId="0" borderId="0" xfId="0" applyNumberFormat="1" applyFont="1"/>
    <xf numFmtId="175" fontId="20" fillId="0" borderId="7" xfId="0" applyNumberFormat="1" applyFont="1" applyBorder="1"/>
    <xf numFmtId="4" fontId="36" fillId="0" borderId="0" xfId="0" applyNumberFormat="1" applyFont="1"/>
    <xf numFmtId="167" fontId="36" fillId="0" borderId="0" xfId="0" applyNumberFormat="1" applyFont="1"/>
    <xf numFmtId="170" fontId="22" fillId="0" borderId="0" xfId="0" applyNumberFormat="1" applyFont="1"/>
    <xf numFmtId="167" fontId="22" fillId="0" borderId="0" xfId="0" applyNumberFormat="1" applyFont="1"/>
    <xf numFmtId="0" fontId="29" fillId="10" borderId="12" xfId="0" applyFont="1" applyFill="1" applyBorder="1"/>
    <xf numFmtId="0" fontId="10" fillId="10" borderId="12" xfId="0" applyFont="1" applyFill="1" applyBorder="1"/>
    <xf numFmtId="0" fontId="33" fillId="0" borderId="12" xfId="0" applyFont="1" applyBorder="1"/>
    <xf numFmtId="10" fontId="10" fillId="0" borderId="12" xfId="0" applyNumberFormat="1" applyFont="1" applyBorder="1"/>
    <xf numFmtId="0" fontId="37" fillId="0" borderId="0" xfId="0" applyFont="1" applyAlignment="1">
      <alignment horizontal="left" vertical="center"/>
    </xf>
    <xf numFmtId="2" fontId="10" fillId="0" borderId="12" xfId="0" applyNumberFormat="1" applyFont="1" applyBorder="1" applyAlignment="1">
      <alignment horizontal="right"/>
    </xf>
    <xf numFmtId="0" fontId="10" fillId="0" borderId="0" xfId="0" applyFont="1" applyAlignment="1">
      <alignment horizontal="right"/>
    </xf>
    <xf numFmtId="0" fontId="18" fillId="0" borderId="0" xfId="0" applyFont="1" applyAlignment="1">
      <alignment horizontal="right"/>
    </xf>
    <xf numFmtId="4" fontId="10" fillId="0" borderId="12" xfId="0" applyNumberFormat="1" applyFont="1" applyBorder="1"/>
    <xf numFmtId="0" fontId="37" fillId="0" borderId="0" xfId="0" applyFont="1"/>
    <xf numFmtId="0" fontId="38" fillId="0" borderId="13" xfId="0" applyFont="1" applyBorder="1"/>
    <xf numFmtId="0" fontId="10" fillId="0" borderId="14" xfId="0" applyFont="1" applyBorder="1"/>
    <xf numFmtId="0" fontId="10" fillId="0" borderId="15" xfId="0" applyFont="1" applyBorder="1"/>
    <xf numFmtId="0" fontId="39" fillId="0" borderId="16" xfId="0" applyFont="1" applyBorder="1" applyAlignment="1">
      <alignment horizontal="right"/>
    </xf>
    <xf numFmtId="0" fontId="39" fillId="0" borderId="17" xfId="0" applyFont="1" applyBorder="1" applyAlignment="1">
      <alignment horizontal="right"/>
    </xf>
    <xf numFmtId="0" fontId="39" fillId="0" borderId="18" xfId="0" applyFont="1" applyBorder="1" applyAlignment="1">
      <alignment horizontal="right"/>
    </xf>
    <xf numFmtId="0" fontId="33" fillId="0" borderId="19" xfId="0" applyFont="1" applyBorder="1" applyAlignment="1">
      <alignment horizontal="right"/>
    </xf>
    <xf numFmtId="2" fontId="33" fillId="0" borderId="0" xfId="0" applyNumberFormat="1" applyFont="1" applyAlignment="1">
      <alignment horizontal="right"/>
    </xf>
    <xf numFmtId="167" fontId="33" fillId="0" borderId="0" xfId="0" applyNumberFormat="1" applyFont="1" applyAlignment="1">
      <alignment horizontal="right"/>
    </xf>
    <xf numFmtId="2" fontId="33" fillId="0" borderId="20" xfId="0" applyNumberFormat="1" applyFont="1" applyBorder="1" applyAlignment="1">
      <alignment horizontal="right"/>
    </xf>
    <xf numFmtId="0" fontId="22" fillId="0" borderId="0" xfId="0" applyFont="1" applyAlignment="1">
      <alignment horizontal="right"/>
    </xf>
    <xf numFmtId="0" fontId="34" fillId="0" borderId="21" xfId="0" applyFont="1" applyBorder="1"/>
    <xf numFmtId="0" fontId="10" fillId="0" borderId="22" xfId="0" applyFont="1" applyBorder="1"/>
    <xf numFmtId="2" fontId="34" fillId="0" borderId="23" xfId="0" applyNumberFormat="1" applyFont="1" applyBorder="1" applyAlignment="1">
      <alignment horizontal="right"/>
    </xf>
    <xf numFmtId="0" fontId="33" fillId="0" borderId="19" xfId="0" applyFont="1" applyBorder="1"/>
    <xf numFmtId="167" fontId="33" fillId="0" borderId="20" xfId="0" applyNumberFormat="1" applyFont="1" applyBorder="1" applyAlignment="1">
      <alignment horizontal="right"/>
    </xf>
    <xf numFmtId="2" fontId="34" fillId="0" borderId="20" xfId="0" applyNumberFormat="1" applyFont="1" applyBorder="1" applyAlignment="1">
      <alignment horizontal="right"/>
    </xf>
    <xf numFmtId="0" fontId="34" fillId="0" borderId="24" xfId="0" applyFont="1" applyBorder="1"/>
    <xf numFmtId="2" fontId="34" fillId="11" borderId="23" xfId="0" applyNumberFormat="1" applyFont="1" applyFill="1" applyBorder="1" applyAlignment="1">
      <alignment horizontal="right"/>
    </xf>
    <xf numFmtId="0" fontId="10" fillId="0" borderId="19" xfId="0" applyFont="1" applyBorder="1"/>
    <xf numFmtId="0" fontId="39" fillId="0" borderId="0" xfId="0" applyFont="1" applyAlignment="1">
      <alignment horizontal="right"/>
    </xf>
    <xf numFmtId="0" fontId="39" fillId="0" borderId="20" xfId="0" applyFont="1" applyBorder="1" applyAlignment="1">
      <alignment horizontal="right"/>
    </xf>
    <xf numFmtId="0" fontId="33" fillId="0" borderId="10" xfId="0" applyFont="1" applyBorder="1"/>
    <xf numFmtId="2" fontId="33" fillId="0" borderId="10" xfId="0" applyNumberFormat="1" applyFont="1" applyBorder="1" applyAlignment="1">
      <alignment horizontal="right"/>
    </xf>
    <xf numFmtId="10" fontId="33" fillId="0" borderId="10" xfId="0" applyNumberFormat="1" applyFont="1" applyBorder="1" applyAlignment="1">
      <alignment horizontal="right"/>
    </xf>
    <xf numFmtId="0" fontId="34" fillId="0" borderId="10" xfId="0" applyFont="1" applyBorder="1"/>
    <xf numFmtId="10" fontId="34" fillId="0" borderId="10" xfId="0" applyNumberFormat="1" applyFont="1" applyBorder="1" applyAlignment="1">
      <alignment horizontal="right"/>
    </xf>
    <xf numFmtId="0" fontId="7" fillId="0" borderId="0" xfId="0" applyFont="1"/>
    <xf numFmtId="0" fontId="41" fillId="0" borderId="0" xfId="0" applyFont="1"/>
    <xf numFmtId="166" fontId="41" fillId="0" borderId="0" xfId="0" applyNumberFormat="1" applyFont="1"/>
    <xf numFmtId="0" fontId="43" fillId="0" borderId="0" xfId="0" applyFont="1"/>
    <xf numFmtId="0" fontId="44" fillId="2" borderId="0" xfId="0" applyFont="1" applyFill="1"/>
    <xf numFmtId="0" fontId="45" fillId="2" borderId="0" xfId="0" applyFont="1" applyFill="1"/>
    <xf numFmtId="0" fontId="46" fillId="0" borderId="0" xfId="0" applyFont="1"/>
    <xf numFmtId="0" fontId="45" fillId="0" borderId="0" xfId="0" applyFont="1"/>
    <xf numFmtId="0" fontId="45" fillId="3" borderId="0" xfId="0" applyFont="1" applyFill="1"/>
    <xf numFmtId="0" fontId="45" fillId="3" borderId="0" xfId="0" applyFont="1" applyFill="1" applyAlignment="1">
      <alignment horizontal="right"/>
    </xf>
    <xf numFmtId="0" fontId="45" fillId="3" borderId="2" xfId="0" applyFont="1" applyFill="1" applyBorder="1" applyAlignment="1">
      <alignment horizontal="right"/>
    </xf>
    <xf numFmtId="0" fontId="45" fillId="4" borderId="0" xfId="0" applyFont="1" applyFill="1" applyAlignment="1">
      <alignment horizontal="right"/>
    </xf>
    <xf numFmtId="0" fontId="47" fillId="0" borderId="0" xfId="0" applyFont="1"/>
    <xf numFmtId="37" fontId="48" fillId="0" borderId="0" xfId="0" applyNumberFormat="1" applyFont="1"/>
    <xf numFmtId="37" fontId="48" fillId="0" borderId="2" xfId="0" applyNumberFormat="1" applyFont="1" applyBorder="1"/>
    <xf numFmtId="0" fontId="49" fillId="0" borderId="3" xfId="0" applyFont="1" applyBorder="1"/>
    <xf numFmtId="167" fontId="45" fillId="0" borderId="3" xfId="0" applyNumberFormat="1" applyFont="1" applyBorder="1"/>
    <xf numFmtId="167" fontId="45" fillId="0" borderId="4" xfId="0" applyNumberFormat="1" applyFont="1" applyBorder="1"/>
    <xf numFmtId="0" fontId="45" fillId="0" borderId="2" xfId="0" applyFont="1" applyBorder="1"/>
    <xf numFmtId="0" fontId="47" fillId="0" borderId="7" xfId="0" applyFont="1" applyBorder="1"/>
    <xf numFmtId="37" fontId="48" fillId="0" borderId="7" xfId="0" applyNumberFormat="1" applyFont="1" applyBorder="1"/>
    <xf numFmtId="37" fontId="48" fillId="0" borderId="8" xfId="0" applyNumberFormat="1" applyFont="1" applyBorder="1"/>
    <xf numFmtId="0" fontId="49" fillId="0" borderId="0" xfId="0" applyFont="1"/>
    <xf numFmtId="37" fontId="45" fillId="0" borderId="0" xfId="0" applyNumberFormat="1" applyFont="1"/>
    <xf numFmtId="37" fontId="45" fillId="0" borderId="2" xfId="0" applyNumberFormat="1" applyFont="1" applyBorder="1"/>
    <xf numFmtId="0" fontId="47" fillId="0" borderId="3" xfId="0" applyFont="1" applyBorder="1"/>
    <xf numFmtId="37" fontId="48" fillId="0" borderId="3" xfId="0" applyNumberFormat="1" applyFont="1" applyBorder="1"/>
    <xf numFmtId="37" fontId="48" fillId="0" borderId="4" xfId="0" applyNumberFormat="1" applyFont="1" applyBorder="1"/>
  </cellXfs>
  <cellStyles count="4">
    <cellStyle name="Comma 2" xfId="1" xr:uid="{00000000-0005-0000-0000-000006000000}"/>
    <cellStyle name="Normal" xfId="0" builtinId="0"/>
    <cellStyle name="Normal 2" xfId="2" xr:uid="{00000000-0005-0000-0000-000007000000}"/>
    <cellStyle name="Percent 2" xfId="3"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B0B0B0"/>
      <rgbColor rgb="FF993366"/>
      <rgbColor rgb="FFFFF7DC"/>
      <rgbColor rgb="FFDDEBF7"/>
      <rgbColor rgb="FF660066"/>
      <rgbColor rgb="FFB5B5B5"/>
      <rgbColor rgb="FF0070C0"/>
      <rgbColor rgb="FFCADFF4"/>
      <rgbColor rgb="FF000080"/>
      <rgbColor rgb="FFFF00FF"/>
      <rgbColor rgb="FFFFFF00"/>
      <rgbColor rgb="FF00FFFF"/>
      <rgbColor rgb="FF800080"/>
      <rgbColor rgb="FF800000"/>
      <rgbColor rgb="FF008080"/>
      <rgbColor rgb="FF0000FF"/>
      <rgbColor rgb="FF00CCFF"/>
      <rgbColor rgb="FFDEEBF8"/>
      <rgbColor rgb="FFDAE2F2"/>
      <rgbColor rgb="FFD9D9D9"/>
      <rgbColor rgb="FFB4C7E7"/>
      <rgbColor rgb="FFF2A983"/>
      <rgbColor rgb="FFB3B3B3"/>
      <rgbColor rgb="FFFCE4D6"/>
      <rgbColor rgb="FF3366FF"/>
      <rgbColor rgb="FFB0DDD1"/>
      <rgbColor rgb="FF99CC00"/>
      <rgbColor rgb="FFD9E1F2"/>
      <rgbColor rgb="FFFF9900"/>
      <rgbColor rgb="FFFF6600"/>
      <rgbColor rgb="FF666699"/>
      <rgbColor rgb="FF9B9B9B"/>
      <rgbColor rgb="FF0E2841"/>
      <rgbColor rgb="FF339966"/>
      <rgbColor rgb="FF003300"/>
      <rgbColor rgb="FF333300"/>
      <rgbColor rgb="FF993300"/>
      <rgbColor rgb="FF993366"/>
      <rgbColor rgb="FF281E5D"/>
      <rgbColor rgb="FF281F5D"/>
      <rgbColor rgb="00003366"/>
      <rgbColor rgb="00339966"/>
      <rgbColor rgb="00003300"/>
      <rgbColor rgb="00333300"/>
      <rgbColor rgb="00993300"/>
      <rgbColor rgb="00993366"/>
      <rgbColor rgb="00333399"/>
      <rgbColor rgb="00333333"/>
    </indexedColors>
    <mruColors>
      <color rgb="FFDADADA"/>
      <color rgb="FFA6A6A6"/>
      <color rgb="FF281F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600" b="1" u="none" strike="noStrike">
                <a:solidFill>
                  <a:schemeClr val="tx2"/>
                </a:solidFill>
                <a:uFillTx/>
                <a:latin typeface="Cambria"/>
              </a:rPr>
              <a:t>Valuation vs Current Price ($/share)</a:t>
            </a:r>
          </a:p>
        </c:rich>
      </c:tx>
      <c:overlay val="0"/>
      <c:spPr>
        <a:noFill/>
        <a:ln w="0">
          <a:noFill/>
        </a:ln>
      </c:spPr>
    </c:title>
    <c:autoTitleDeleted val="0"/>
    <c:plotArea>
      <c:layout/>
      <c:barChart>
        <c:barDir val="col"/>
        <c:grouping val="clustered"/>
        <c:varyColors val="0"/>
        <c:ser>
          <c:idx val="0"/>
          <c:order val="0"/>
          <c:spPr>
            <a:solidFill>
              <a:srgbClr val="281E5D"/>
            </a:solidFill>
            <a:ln w="12600">
              <a:noFill/>
            </a:ln>
          </c:spPr>
          <c:invertIfNegative val="0"/>
          <c:dLbls>
            <c:spPr>
              <a:noFill/>
              <a:ln>
                <a:noFill/>
              </a:ln>
              <a:effectLst/>
            </c:spPr>
            <c:txPr>
              <a:bodyPr wrap="square"/>
              <a:lstStyle/>
              <a:p>
                <a:pPr>
                  <a:defRPr sz="1000" b="0" u="none" strike="noStrike">
                    <a:solidFill>
                      <a:schemeClr val="bg1"/>
                    </a:solidFill>
                    <a:uFillTx/>
                    <a:latin typeface="Cambria"/>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Dashboard!$B$6:$B$9</c:f>
              <c:strCache>
                <c:ptCount val="4"/>
                <c:pt idx="0">
                  <c:v>DDM</c:v>
                </c:pt>
                <c:pt idx="1">
                  <c:v>SOTP</c:v>
                </c:pt>
                <c:pt idx="2">
                  <c:v>RIM</c:v>
                </c:pt>
                <c:pt idx="3">
                  <c:v>Current Price</c:v>
                </c:pt>
              </c:strCache>
            </c:strRef>
          </c:cat>
          <c:val>
            <c:numRef>
              <c:f>Dashboard!$C$6:$C$9</c:f>
              <c:numCache>
                <c:formatCode>\$#,##0.00</c:formatCode>
                <c:ptCount val="4"/>
                <c:pt idx="0">
                  <c:v>79.930551580091461</c:v>
                </c:pt>
                <c:pt idx="1">
                  <c:v>86.330870472083944</c:v>
                </c:pt>
                <c:pt idx="2">
                  <c:v>107.3420717062917</c:v>
                </c:pt>
                <c:pt idx="3">
                  <c:v>86.55</c:v>
                </c:pt>
              </c:numCache>
            </c:numRef>
          </c:val>
          <c:extLst>
            <c:ext xmlns:c16="http://schemas.microsoft.com/office/drawing/2014/chart" uri="{C3380CC4-5D6E-409C-BE32-E72D297353CC}">
              <c16:uniqueId val="{00000000-39EB-224C-8A03-90B6FB9BA76E}"/>
            </c:ext>
          </c:extLst>
        </c:ser>
        <c:dLbls>
          <c:showLegendKey val="0"/>
          <c:showVal val="0"/>
          <c:showCatName val="0"/>
          <c:showSerName val="0"/>
          <c:showPercent val="0"/>
          <c:showBubbleSize val="0"/>
        </c:dLbls>
        <c:gapWidth val="100"/>
        <c:overlap val="-24"/>
        <c:axId val="21148684"/>
        <c:axId val="70504877"/>
      </c:barChart>
      <c:catAx>
        <c:axId val="21148684"/>
        <c:scaling>
          <c:orientation val="minMax"/>
        </c:scaling>
        <c:delete val="0"/>
        <c:axPos val="b"/>
        <c:numFmt formatCode="General" sourceLinked="0"/>
        <c:majorTickMark val="none"/>
        <c:minorTickMark val="none"/>
        <c:tickLblPos val="nextTo"/>
        <c:spPr>
          <a:ln w="9360">
            <a:solidFill>
              <a:schemeClr val="dk2">
                <a:lumMod val="15000"/>
                <a:lumOff val="85000"/>
              </a:schemeClr>
            </a:solidFill>
            <a:round/>
          </a:ln>
        </c:spPr>
        <c:txPr>
          <a:bodyPr/>
          <a:lstStyle/>
          <a:p>
            <a:pPr>
              <a:defRPr sz="900" b="0" u="none" strike="noStrike">
                <a:solidFill>
                  <a:schemeClr val="tx2"/>
                </a:solidFill>
                <a:uFillTx/>
                <a:latin typeface="Cambria"/>
              </a:defRPr>
            </a:pPr>
            <a:endParaRPr lang="en-US"/>
          </a:p>
        </c:txPr>
        <c:crossAx val="70504877"/>
        <c:crosses val="autoZero"/>
        <c:auto val="1"/>
        <c:lblAlgn val="ctr"/>
        <c:lblOffset val="100"/>
        <c:noMultiLvlLbl val="0"/>
      </c:catAx>
      <c:valAx>
        <c:axId val="70504877"/>
        <c:scaling>
          <c:orientation val="minMax"/>
          <c:min val="70"/>
        </c:scaling>
        <c:delete val="0"/>
        <c:axPos val="l"/>
        <c:majorGridlines>
          <c:spPr>
            <a:ln w="9360">
              <a:solidFill>
                <a:srgbClr val="DADADA"/>
              </a:solidFill>
              <a:round/>
            </a:ln>
          </c:spPr>
        </c:majorGridlines>
        <c:numFmt formatCode="\$#,##0.00" sourceLinked="0"/>
        <c:majorTickMark val="none"/>
        <c:minorTickMark val="none"/>
        <c:tickLblPos val="nextTo"/>
        <c:spPr>
          <a:ln w="12600">
            <a:noFill/>
          </a:ln>
        </c:spPr>
        <c:txPr>
          <a:bodyPr/>
          <a:lstStyle/>
          <a:p>
            <a:pPr>
              <a:defRPr sz="1000" b="0" u="none" strike="noStrike">
                <a:solidFill>
                  <a:schemeClr val="tx2"/>
                </a:solidFill>
                <a:uFillTx/>
                <a:latin typeface="Cambria"/>
              </a:defRPr>
            </a:pPr>
            <a:endParaRPr lang="en-US"/>
          </a:p>
        </c:txPr>
        <c:crossAx val="21148684"/>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ADADA"/>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mbria"/>
              </a:rPr>
              <a:t>Capital Investment &amp; Leverage</a:t>
            </a:r>
          </a:p>
        </c:rich>
      </c:tx>
      <c:overlay val="0"/>
      <c:spPr>
        <a:noFill/>
        <a:ln w="0">
          <a:noFill/>
        </a:ln>
      </c:spPr>
    </c:title>
    <c:autoTitleDeleted val="0"/>
    <c:plotArea>
      <c:layout>
        <c:manualLayout>
          <c:layoutTarget val="inner"/>
          <c:xMode val="edge"/>
          <c:yMode val="edge"/>
          <c:x val="0.15535133783445901"/>
          <c:y val="0.18721860930465201"/>
          <c:w val="0.52119279819955"/>
          <c:h val="0.64244622311155597"/>
        </c:manualLayout>
      </c:layout>
      <c:barChart>
        <c:barDir val="col"/>
        <c:grouping val="clustered"/>
        <c:varyColors val="0"/>
        <c:ser>
          <c:idx val="0"/>
          <c:order val="0"/>
          <c:tx>
            <c:strRef>
              <c:f>Dashboard!$B$15</c:f>
              <c:strCache>
                <c:ptCount val="1"/>
                <c:pt idx="0">
                  <c:v>Capex ($M)</c:v>
                </c:pt>
              </c:strCache>
            </c:strRef>
          </c:tx>
          <c:spPr>
            <a:solidFill>
              <a:srgbClr val="281E5D"/>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Dashboard!$C$11:$L$11</c:f>
              <c:strCache>
                <c:ptCount val="10"/>
                <c:pt idx="0">
                  <c:v>2023A</c:v>
                </c:pt>
                <c:pt idx="1">
                  <c:v>2024A</c:v>
                </c:pt>
                <c:pt idx="2">
                  <c:v>2025A</c:v>
                </c:pt>
                <c:pt idx="3">
                  <c:v>2026E</c:v>
                </c:pt>
                <c:pt idx="4">
                  <c:v>2027E</c:v>
                </c:pt>
                <c:pt idx="5">
                  <c:v>2028E</c:v>
                </c:pt>
                <c:pt idx="6">
                  <c:v>2029E</c:v>
                </c:pt>
                <c:pt idx="7">
                  <c:v>2030E</c:v>
                </c:pt>
                <c:pt idx="8">
                  <c:v>2031E</c:v>
                </c:pt>
                <c:pt idx="9">
                  <c:v>2032E</c:v>
                </c:pt>
              </c:strCache>
            </c:strRef>
          </c:cat>
          <c:val>
            <c:numRef>
              <c:f>Dashboard!$C$15:$L$15</c:f>
              <c:numCache>
                <c:formatCode>#,##0</c:formatCode>
                <c:ptCount val="10"/>
                <c:pt idx="0">
                  <c:v>25113</c:v>
                </c:pt>
                <c:pt idx="1">
                  <c:v>24729</c:v>
                </c:pt>
                <c:pt idx="2">
                  <c:v>24606</c:v>
                </c:pt>
                <c:pt idx="3">
                  <c:v>27999.959988000002</c:v>
                </c:pt>
                <c:pt idx="4">
                  <c:v>30500.112566000003</c:v>
                </c:pt>
                <c:pt idx="5">
                  <c:v>32440.983771319203</c:v>
                </c:pt>
                <c:pt idx="6">
                  <c:v>34437.375115480267</c:v>
                </c:pt>
                <c:pt idx="7">
                  <c:v>36033.412960683803</c:v>
                </c:pt>
                <c:pt idx="8">
                  <c:v>37776.813122259206</c:v>
                </c:pt>
                <c:pt idx="9">
                  <c:v>38670.500561580287</c:v>
                </c:pt>
              </c:numCache>
            </c:numRef>
          </c:val>
          <c:extLst>
            <c:ext xmlns:c16="http://schemas.microsoft.com/office/drawing/2014/chart" uri="{C3380CC4-5D6E-409C-BE32-E72D297353CC}">
              <c16:uniqueId val="{00000000-FD64-144F-A6ED-5085697A35FC}"/>
            </c:ext>
          </c:extLst>
        </c:ser>
        <c:dLbls>
          <c:showLegendKey val="0"/>
          <c:showVal val="0"/>
          <c:showCatName val="0"/>
          <c:showSerName val="0"/>
          <c:showPercent val="0"/>
          <c:showBubbleSize val="0"/>
        </c:dLbls>
        <c:gapWidth val="150"/>
        <c:axId val="5894107"/>
        <c:axId val="5730786"/>
      </c:barChart>
      <c:lineChart>
        <c:grouping val="standard"/>
        <c:varyColors val="0"/>
        <c:ser>
          <c:idx val="1"/>
          <c:order val="1"/>
          <c:tx>
            <c:strRef>
              <c:f>Dashboard!$B$16</c:f>
              <c:strCache>
                <c:ptCount val="1"/>
                <c:pt idx="0">
                  <c:v>Net debt / EBITDA</c:v>
                </c:pt>
              </c:strCache>
            </c:strRef>
          </c:tx>
          <c:spPr>
            <a:ln w="255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Dashboard!$C$11:$L$11</c:f>
              <c:strCache>
                <c:ptCount val="10"/>
                <c:pt idx="0">
                  <c:v>2023A</c:v>
                </c:pt>
                <c:pt idx="1">
                  <c:v>2024A</c:v>
                </c:pt>
                <c:pt idx="2">
                  <c:v>2025A</c:v>
                </c:pt>
                <c:pt idx="3">
                  <c:v>2026E</c:v>
                </c:pt>
                <c:pt idx="4">
                  <c:v>2027E</c:v>
                </c:pt>
                <c:pt idx="5">
                  <c:v>2028E</c:v>
                </c:pt>
                <c:pt idx="6">
                  <c:v>2029E</c:v>
                </c:pt>
                <c:pt idx="7">
                  <c:v>2030E</c:v>
                </c:pt>
                <c:pt idx="8">
                  <c:v>2031E</c:v>
                </c:pt>
                <c:pt idx="9">
                  <c:v>2032E</c:v>
                </c:pt>
              </c:strCache>
            </c:strRef>
          </c:cat>
          <c:val>
            <c:numRef>
              <c:f>Dashboard!$C$16:$L$16</c:f>
              <c:numCache>
                <c:formatCode>0.0\x</c:formatCode>
                <c:ptCount val="10"/>
                <c:pt idx="0">
                  <c:v>4.375837676842889</c:v>
                </c:pt>
                <c:pt idx="1">
                  <c:v>6.2472760992195351</c:v>
                </c:pt>
                <c:pt idx="2">
                  <c:v>6.2454239569313597</c:v>
                </c:pt>
                <c:pt idx="3">
                  <c:v>6.7177826108826855</c:v>
                </c:pt>
                <c:pt idx="4">
                  <c:v>6.7177826108826855</c:v>
                </c:pt>
                <c:pt idx="5">
                  <c:v>6.7177826108826855</c:v>
                </c:pt>
                <c:pt idx="6">
                  <c:v>6.7177826108826855</c:v>
                </c:pt>
                <c:pt idx="7">
                  <c:v>6.7177826108826846</c:v>
                </c:pt>
                <c:pt idx="8">
                  <c:v>6.7177826108826855</c:v>
                </c:pt>
                <c:pt idx="9">
                  <c:v>6.7177826108826855</c:v>
                </c:pt>
              </c:numCache>
            </c:numRef>
          </c:val>
          <c:smooth val="1"/>
          <c:extLst>
            <c:ext xmlns:c16="http://schemas.microsoft.com/office/drawing/2014/chart" uri="{C3380CC4-5D6E-409C-BE32-E72D297353CC}">
              <c16:uniqueId val="{00000001-FD64-144F-A6ED-5085697A35FC}"/>
            </c:ext>
          </c:extLst>
        </c:ser>
        <c:dLbls>
          <c:showLegendKey val="0"/>
          <c:showVal val="0"/>
          <c:showCatName val="0"/>
          <c:showSerName val="0"/>
          <c:showPercent val="0"/>
          <c:showBubbleSize val="0"/>
        </c:dLbls>
        <c:hiLowLines>
          <c:spPr>
            <a:ln w="0">
              <a:noFill/>
            </a:ln>
          </c:spPr>
        </c:hiLowLines>
        <c:marker val="1"/>
        <c:smooth val="0"/>
        <c:axId val="17583945"/>
        <c:axId val="75768462"/>
      </c:lineChart>
      <c:catAx>
        <c:axId val="589410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mbria"/>
              </a:defRPr>
            </a:pPr>
            <a:endParaRPr lang="en-US"/>
          </a:p>
        </c:txPr>
        <c:crossAx val="5730786"/>
        <c:crosses val="autoZero"/>
        <c:auto val="1"/>
        <c:lblAlgn val="ctr"/>
        <c:lblOffset val="100"/>
        <c:noMultiLvlLbl val="0"/>
      </c:catAx>
      <c:valAx>
        <c:axId val="5730786"/>
        <c:scaling>
          <c:orientation val="minMax"/>
          <c:min val="15000"/>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mbria"/>
                  </a:rPr>
                  <a:t>Capex ($M)</a:t>
                </a:r>
              </a:p>
            </c:rich>
          </c:tx>
          <c:layout>
            <c:manualLayout>
              <c:xMode val="edge"/>
              <c:yMode val="edge"/>
              <c:x val="1.26281570392598E-2"/>
              <c:y val="0.38206603301650799"/>
            </c:manualLayout>
          </c:layout>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mbria"/>
              </a:defRPr>
            </a:pPr>
            <a:endParaRPr lang="en-US"/>
          </a:p>
        </c:txPr>
        <c:crossAx val="5894107"/>
        <c:crosses val="autoZero"/>
        <c:crossBetween val="between"/>
      </c:valAx>
      <c:catAx>
        <c:axId val="17583945"/>
        <c:scaling>
          <c:orientation val="minMax"/>
        </c:scaling>
        <c:delete val="1"/>
        <c:axPos val="b"/>
        <c:numFmt formatCode="General" sourceLinked="1"/>
        <c:majorTickMark val="none"/>
        <c:minorTickMark val="none"/>
        <c:tickLblPos val="nextTo"/>
        <c:crossAx val="75768462"/>
        <c:crosses val="autoZero"/>
        <c:auto val="1"/>
        <c:lblAlgn val="ctr"/>
        <c:lblOffset val="100"/>
        <c:noMultiLvlLbl val="0"/>
      </c:catAx>
      <c:valAx>
        <c:axId val="75768462"/>
        <c:scaling>
          <c:orientation val="minMax"/>
          <c:min val="3"/>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mbria"/>
                  </a:rPr>
                  <a:t>Net debt / EBITDA</a:t>
                </a:r>
              </a:p>
            </c:rich>
          </c:tx>
          <c:layout>
            <c:manualLayout>
              <c:xMode val="edge"/>
              <c:yMode val="edge"/>
              <c:x val="0.76394098524631204"/>
              <c:y val="0.29489744872436202"/>
            </c:manualLayout>
          </c:layout>
          <c:overlay val="0"/>
          <c:spPr>
            <a:noFill/>
            <a:ln w="0">
              <a:noFill/>
            </a:ln>
          </c:spPr>
        </c:title>
        <c:numFmt formatCode="0.0\x"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mbria"/>
              </a:defRPr>
            </a:pPr>
            <a:endParaRPr lang="en-US"/>
          </a:p>
        </c:txPr>
        <c:crossAx val="17583945"/>
        <c:crosses val="max"/>
        <c:crossBetween val="between"/>
      </c:valAx>
      <c:spPr>
        <a:solidFill>
          <a:srgbClr val="FFFFFF"/>
        </a:solidFill>
        <a:ln w="0">
          <a:noFill/>
        </a:ln>
      </c:spPr>
    </c:plotArea>
    <c:legend>
      <c:legendPos val="r"/>
      <c:layout>
        <c:manualLayout>
          <c:xMode val="edge"/>
          <c:yMode val="edge"/>
          <c:x val="0.75902169095515604"/>
          <c:y val="0.79730266757865897"/>
          <c:w val="0.23047681733688799"/>
          <c:h val="0.152909712722298"/>
        </c:manualLayout>
      </c:layout>
      <c:overlay val="0"/>
      <c:spPr>
        <a:noFill/>
        <a:ln w="0">
          <a:noFill/>
        </a:ln>
      </c:spPr>
      <c:txPr>
        <a:bodyPr/>
        <a:lstStyle/>
        <a:p>
          <a:pPr>
            <a:defRPr sz="900" b="0" u="none" strike="noStrike">
              <a:solidFill>
                <a:srgbClr val="000000"/>
              </a:solidFill>
              <a:uFillTx/>
              <a:latin typeface="Cambria"/>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mbria"/>
              </a:rPr>
              <a:t>ROIC vs WACC</a:t>
            </a:r>
          </a:p>
        </c:rich>
      </c:tx>
      <c:overlay val="0"/>
      <c:spPr>
        <a:noFill/>
        <a:ln w="0">
          <a:noFill/>
        </a:ln>
      </c:spPr>
    </c:title>
    <c:autoTitleDeleted val="0"/>
    <c:plotArea>
      <c:layout>
        <c:manualLayout>
          <c:layoutTarget val="inner"/>
          <c:xMode val="edge"/>
          <c:yMode val="edge"/>
          <c:x val="0.15160922503371141"/>
          <c:y val="0.13033710629921261"/>
          <c:w val="0.72305576394098503"/>
          <c:h val="0.71460730365182601"/>
        </c:manualLayout>
      </c:layout>
      <c:lineChart>
        <c:grouping val="standard"/>
        <c:varyColors val="0"/>
        <c:ser>
          <c:idx val="0"/>
          <c:order val="0"/>
          <c:tx>
            <c:strRef>
              <c:f>Dashboard!$B$17</c:f>
              <c:strCache>
                <c:ptCount val="1"/>
                <c:pt idx="0">
                  <c:v>ROIC</c:v>
                </c:pt>
              </c:strCache>
            </c:strRef>
          </c:tx>
          <c:spPr>
            <a:ln w="25560">
              <a:solidFill>
                <a:srgbClr val="281E5D"/>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Dashboard!$C$11:$L$11</c:f>
              <c:strCache>
                <c:ptCount val="10"/>
                <c:pt idx="0">
                  <c:v>2023A</c:v>
                </c:pt>
                <c:pt idx="1">
                  <c:v>2024A</c:v>
                </c:pt>
                <c:pt idx="2">
                  <c:v>2025A</c:v>
                </c:pt>
                <c:pt idx="3">
                  <c:v>2026E</c:v>
                </c:pt>
                <c:pt idx="4">
                  <c:v>2027E</c:v>
                </c:pt>
                <c:pt idx="5">
                  <c:v>2028E</c:v>
                </c:pt>
                <c:pt idx="6">
                  <c:v>2029E</c:v>
                </c:pt>
                <c:pt idx="7">
                  <c:v>2030E</c:v>
                </c:pt>
                <c:pt idx="8">
                  <c:v>2031E</c:v>
                </c:pt>
                <c:pt idx="9">
                  <c:v>2032E</c:v>
                </c:pt>
              </c:strCache>
            </c:strRef>
          </c:cat>
          <c:val>
            <c:numRef>
              <c:f>Dashboard!$C$17:$L$17</c:f>
              <c:numCache>
                <c:formatCode>0.0%</c:formatCode>
                <c:ptCount val="10"/>
                <c:pt idx="0">
                  <c:v>6.8781691436781492E-2</c:v>
                </c:pt>
                <c:pt idx="1">
                  <c:v>4.9955602292789364E-2</c:v>
                </c:pt>
                <c:pt idx="2">
                  <c:v>6.1184958406691178E-2</c:v>
                </c:pt>
                <c:pt idx="3">
                  <c:v>5.0952356609976324E-2</c:v>
                </c:pt>
                <c:pt idx="4">
                  <c:v>4.7997172736482477E-2</c:v>
                </c:pt>
                <c:pt idx="5">
                  <c:v>4.5628087762763385E-2</c:v>
                </c:pt>
                <c:pt idx="6">
                  <c:v>4.3739095221501351E-2</c:v>
                </c:pt>
                <c:pt idx="7">
                  <c:v>4.2345572199746918E-2</c:v>
                </c:pt>
                <c:pt idx="8">
                  <c:v>4.1904762563651929E-2</c:v>
                </c:pt>
                <c:pt idx="9">
                  <c:v>4.1950883838569882E-2</c:v>
                </c:pt>
              </c:numCache>
            </c:numRef>
          </c:val>
          <c:smooth val="1"/>
          <c:extLst>
            <c:ext xmlns:c16="http://schemas.microsoft.com/office/drawing/2014/chart" uri="{C3380CC4-5D6E-409C-BE32-E72D297353CC}">
              <c16:uniqueId val="{00000000-5100-5447-A337-F2A905EAAE59}"/>
            </c:ext>
          </c:extLst>
        </c:ser>
        <c:ser>
          <c:idx val="1"/>
          <c:order val="1"/>
          <c:tx>
            <c:strRef>
              <c:f>Dashboard!$B$18</c:f>
              <c:strCache>
                <c:ptCount val="1"/>
                <c:pt idx="0">
                  <c:v>WACC</c:v>
                </c:pt>
              </c:strCache>
            </c:strRef>
          </c:tx>
          <c:spPr>
            <a:ln w="255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Dashboard!$C$11:$L$11</c:f>
              <c:strCache>
                <c:ptCount val="10"/>
                <c:pt idx="0">
                  <c:v>2023A</c:v>
                </c:pt>
                <c:pt idx="1">
                  <c:v>2024A</c:v>
                </c:pt>
                <c:pt idx="2">
                  <c:v>2025A</c:v>
                </c:pt>
                <c:pt idx="3">
                  <c:v>2026E</c:v>
                </c:pt>
                <c:pt idx="4">
                  <c:v>2027E</c:v>
                </c:pt>
                <c:pt idx="5">
                  <c:v>2028E</c:v>
                </c:pt>
                <c:pt idx="6">
                  <c:v>2029E</c:v>
                </c:pt>
                <c:pt idx="7">
                  <c:v>2030E</c:v>
                </c:pt>
                <c:pt idx="8">
                  <c:v>2031E</c:v>
                </c:pt>
                <c:pt idx="9">
                  <c:v>2032E</c:v>
                </c:pt>
              </c:strCache>
            </c:strRef>
          </c:cat>
          <c:val>
            <c:numRef>
              <c:f>Dashboard!$C$18:$L$18</c:f>
              <c:numCache>
                <c:formatCode>0.0%</c:formatCode>
                <c:ptCount val="10"/>
                <c:pt idx="0">
                  <c:v>4.1738539543189013E-2</c:v>
                </c:pt>
                <c:pt idx="1">
                  <c:v>4.105095057402805E-2</c:v>
                </c:pt>
                <c:pt idx="2">
                  <c:v>4.267105768458327E-2</c:v>
                </c:pt>
                <c:pt idx="3">
                  <c:v>4.4179864952015854E-2</c:v>
                </c:pt>
                <c:pt idx="4">
                  <c:v>4.4891138569751771E-2</c:v>
                </c:pt>
                <c:pt idx="5">
                  <c:v>4.5641055242779588E-2</c:v>
                </c:pt>
                <c:pt idx="6">
                  <c:v>4.5882651101106453E-2</c:v>
                </c:pt>
                <c:pt idx="7">
                  <c:v>4.6730657245701503E-2</c:v>
                </c:pt>
                <c:pt idx="8">
                  <c:v>4.650073469646103E-2</c:v>
                </c:pt>
                <c:pt idx="9">
                  <c:v>4.6333861799509365E-2</c:v>
                </c:pt>
              </c:numCache>
            </c:numRef>
          </c:val>
          <c:smooth val="1"/>
          <c:extLst>
            <c:ext xmlns:c16="http://schemas.microsoft.com/office/drawing/2014/chart" uri="{C3380CC4-5D6E-409C-BE32-E72D297353CC}">
              <c16:uniqueId val="{00000001-5100-5447-A337-F2A905EAAE59}"/>
            </c:ext>
          </c:extLst>
        </c:ser>
        <c:dLbls>
          <c:showLegendKey val="0"/>
          <c:showVal val="0"/>
          <c:showCatName val="0"/>
          <c:showSerName val="0"/>
          <c:showPercent val="0"/>
          <c:showBubbleSize val="0"/>
        </c:dLbls>
        <c:hiLowLines>
          <c:spPr>
            <a:ln w="0">
              <a:noFill/>
            </a:ln>
          </c:spPr>
        </c:hiLowLines>
        <c:smooth val="0"/>
        <c:axId val="55943371"/>
        <c:axId val="94204769"/>
      </c:lineChart>
      <c:catAx>
        <c:axId val="55943371"/>
        <c:scaling>
          <c:orientation val="minMax"/>
        </c:scaling>
        <c:delete val="0"/>
        <c:axPos val="b"/>
        <c:numFmt formatCode="General" sourceLinked="0"/>
        <c:majorTickMark val="none"/>
        <c:minorTickMark val="none"/>
        <c:tickLblPos val="nextTo"/>
        <c:spPr>
          <a:ln w="0">
            <a:solidFill>
              <a:srgbClr val="B3B3B3"/>
            </a:solidFill>
          </a:ln>
        </c:spPr>
        <c:txPr>
          <a:bodyPr rot="-2700000" spcFirstLastPara="1" vertOverflow="ellipsis" vert="horz" wrap="square" anchor="ctr" anchorCtr="1"/>
          <a:lstStyle/>
          <a:p>
            <a:pPr>
              <a:defRPr sz="1100" b="0" u="none" strike="noStrike">
                <a:solidFill>
                  <a:srgbClr val="000000"/>
                </a:solidFill>
                <a:uFillTx/>
                <a:latin typeface="Cambria"/>
              </a:defRPr>
            </a:pPr>
            <a:endParaRPr lang="en-US"/>
          </a:p>
        </c:txPr>
        <c:crossAx val="94204769"/>
        <c:crosses val="autoZero"/>
        <c:auto val="1"/>
        <c:lblAlgn val="ctr"/>
        <c:lblOffset val="100"/>
        <c:noMultiLvlLbl val="0"/>
      </c:catAx>
      <c:valAx>
        <c:axId val="94204769"/>
        <c:scaling>
          <c:orientation val="minMax"/>
          <c:min val="2.0000000000000004E-2"/>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mbria"/>
                  </a:rPr>
                  <a:t>Return (%)</a:t>
                </a:r>
              </a:p>
            </c:rich>
          </c:tx>
          <c:layout>
            <c:manualLayout>
              <c:xMode val="edge"/>
              <c:yMode val="edge"/>
              <c:x val="2.5193798449612399E-2"/>
              <c:y val="0.38681840920460198"/>
            </c:manualLayout>
          </c:layout>
          <c:overlay val="0"/>
          <c:spPr>
            <a:noFill/>
            <a:ln w="0">
              <a:noFill/>
            </a:ln>
          </c:spPr>
        </c:title>
        <c:numFmt formatCode="0.0%" sourceLinked="0"/>
        <c:majorTickMark val="none"/>
        <c:minorTickMark val="none"/>
        <c:tickLblPos val="nextTo"/>
        <c:spPr>
          <a:ln w="0">
            <a:solidFill>
              <a:srgbClr val="B3B3B3"/>
            </a:solidFill>
          </a:ln>
        </c:spPr>
        <c:txPr>
          <a:bodyPr/>
          <a:lstStyle/>
          <a:p>
            <a:pPr>
              <a:defRPr sz="1100" b="0" u="none" strike="noStrike">
                <a:solidFill>
                  <a:srgbClr val="000000"/>
                </a:solidFill>
                <a:uFillTx/>
                <a:latin typeface="Cambria"/>
              </a:defRPr>
            </a:pPr>
            <a:endParaRPr lang="en-US"/>
          </a:p>
        </c:txPr>
        <c:crossAx val="55943371"/>
        <c:crosses val="autoZero"/>
        <c:crossBetween val="between"/>
      </c:valAx>
      <c:spPr>
        <a:solidFill>
          <a:srgbClr val="FFFFFF"/>
        </a:solidFill>
        <a:ln w="0">
          <a:solidFill>
            <a:srgbClr val="DADADA"/>
          </a:solidFill>
        </a:ln>
      </c:spPr>
    </c:plotArea>
    <c:legend>
      <c:legendPos val="r"/>
      <c:layout>
        <c:manualLayout>
          <c:xMode val="edge"/>
          <c:yMode val="edge"/>
          <c:x val="0.87684575733544801"/>
          <c:y val="0.39338282564390198"/>
          <c:w val="0.118957837694951"/>
          <c:h val="0.15289088894664099"/>
        </c:manualLayout>
      </c:layout>
      <c:overlay val="0"/>
      <c:spPr>
        <a:noFill/>
        <a:ln w="0">
          <a:noFill/>
        </a:ln>
      </c:spPr>
      <c:txPr>
        <a:bodyPr/>
        <a:lstStyle/>
        <a:p>
          <a:pPr>
            <a:defRPr sz="1000" b="0" u="none" strike="noStrike">
              <a:solidFill>
                <a:srgbClr val="000000"/>
              </a:solidFill>
              <a:uFillTx/>
              <a:latin typeface="Cambria"/>
            </a:defRPr>
          </a:pPr>
          <a:endParaRPr lang="en-US"/>
        </a:p>
      </c:txPr>
    </c:legend>
    <c:plotVisOnly val="1"/>
    <c:dispBlanksAs val="gap"/>
    <c:showDLblsOverMax val="1"/>
  </c:chart>
  <c:spPr>
    <a:solidFill>
      <a:srgbClr val="FFFFFF"/>
    </a:solidFill>
    <a:ln w="9360">
      <a:solidFill>
        <a:srgbClr val="DADADA"/>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mbria"/>
              </a:rPr>
              <a:t>Adjusted (Guided) vs. GAAP EPS ($)</a:t>
            </a:r>
          </a:p>
        </c:rich>
      </c:tx>
      <c:layout>
        <c:manualLayout>
          <c:xMode val="edge"/>
          <c:yMode val="edge"/>
          <c:x val="0.13215580087923492"/>
          <c:y val="2.9776680755882214E-2"/>
        </c:manualLayout>
      </c:layout>
      <c:overlay val="0"/>
      <c:spPr>
        <a:noFill/>
        <a:ln w="0">
          <a:noFill/>
        </a:ln>
      </c:spPr>
    </c:title>
    <c:autoTitleDeleted val="0"/>
    <c:plotArea>
      <c:layout>
        <c:manualLayout>
          <c:layoutTarget val="inner"/>
          <c:xMode val="edge"/>
          <c:yMode val="edge"/>
          <c:x val="0.15189087109856297"/>
          <c:y val="0.15466201415799108"/>
          <c:w val="0.54765226322757965"/>
          <c:h val="0.69205812548760781"/>
        </c:manualLayout>
      </c:layout>
      <c:lineChart>
        <c:grouping val="standard"/>
        <c:varyColors val="0"/>
        <c:ser>
          <c:idx val="0"/>
          <c:order val="0"/>
          <c:tx>
            <c:v>Adjusted (Guided) EPS</c:v>
          </c:tx>
          <c:spPr>
            <a:ln w="2844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Dashboard!$C$11:$L$11</c:f>
              <c:strCache>
                <c:ptCount val="10"/>
                <c:pt idx="0">
                  <c:v>2023A</c:v>
                </c:pt>
                <c:pt idx="1">
                  <c:v>2024A</c:v>
                </c:pt>
                <c:pt idx="2">
                  <c:v>2025A</c:v>
                </c:pt>
                <c:pt idx="3">
                  <c:v>2026E</c:v>
                </c:pt>
                <c:pt idx="4">
                  <c:v>2027E</c:v>
                </c:pt>
                <c:pt idx="5">
                  <c:v>2028E</c:v>
                </c:pt>
                <c:pt idx="6">
                  <c:v>2029E</c:v>
                </c:pt>
                <c:pt idx="7">
                  <c:v>2030E</c:v>
                </c:pt>
                <c:pt idx="8">
                  <c:v>2031E</c:v>
                </c:pt>
                <c:pt idx="9">
                  <c:v>2032E</c:v>
                </c:pt>
              </c:strCache>
            </c:strRef>
          </c:cat>
          <c:val>
            <c:numRef>
              <c:f>Dashboard!$C$13:$L$13</c:f>
              <c:numCache>
                <c:formatCode>0.00</c:formatCode>
                <c:ptCount val="10"/>
                <c:pt idx="0">
                  <c:v>3.17</c:v>
                </c:pt>
                <c:pt idx="1">
                  <c:v>3.43</c:v>
                </c:pt>
                <c:pt idx="2">
                  <c:v>3.71</c:v>
                </c:pt>
                <c:pt idx="3">
                  <c:v>4.0000162240463544</c:v>
                </c:pt>
                <c:pt idx="4">
                  <c:v>4.3148302038505548</c:v>
                </c:pt>
                <c:pt idx="5">
                  <c:v>4.6568364461037133</c:v>
                </c:pt>
                <c:pt idx="6">
                  <c:v>5.0245896625846438</c:v>
                </c:pt>
                <c:pt idx="7">
                  <c:v>5.4207962059770587</c:v>
                </c:pt>
                <c:pt idx="8">
                  <c:v>5.8511479624035445</c:v>
                </c:pt>
                <c:pt idx="9">
                  <c:v>6.3111195771127466</c:v>
                </c:pt>
              </c:numCache>
            </c:numRef>
          </c:val>
          <c:smooth val="0"/>
          <c:extLst>
            <c:ext xmlns:c16="http://schemas.microsoft.com/office/drawing/2014/chart" uri="{C3380CC4-5D6E-409C-BE32-E72D297353CC}">
              <c16:uniqueId val="{00000000-D41B-A64B-BA15-FCAD47F879A9}"/>
            </c:ext>
          </c:extLst>
        </c:ser>
        <c:ser>
          <c:idx val="1"/>
          <c:order val="1"/>
          <c:tx>
            <c:v>GAAP EPS</c:v>
          </c:tx>
          <c:spPr>
            <a:ln w="28440">
              <a:solidFill>
                <a:srgbClr val="281F5D"/>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Dashboard!$C$11:$L$11</c:f>
              <c:strCache>
                <c:ptCount val="10"/>
                <c:pt idx="0">
                  <c:v>2023A</c:v>
                </c:pt>
                <c:pt idx="1">
                  <c:v>2024A</c:v>
                </c:pt>
                <c:pt idx="2">
                  <c:v>2025A</c:v>
                </c:pt>
                <c:pt idx="3">
                  <c:v>2026E</c:v>
                </c:pt>
                <c:pt idx="4">
                  <c:v>2027E</c:v>
                </c:pt>
                <c:pt idx="5">
                  <c:v>2028E</c:v>
                </c:pt>
                <c:pt idx="6">
                  <c:v>2029E</c:v>
                </c:pt>
                <c:pt idx="7">
                  <c:v>2030E</c:v>
                </c:pt>
                <c:pt idx="8">
                  <c:v>2031E</c:v>
                </c:pt>
                <c:pt idx="9">
                  <c:v>2032E</c:v>
                </c:pt>
              </c:strCache>
            </c:strRef>
          </c:cat>
          <c:val>
            <c:numRef>
              <c:f>Dashboard!$C$19:$L$19</c:f>
              <c:numCache>
                <c:formatCode>0.00</c:formatCode>
                <c:ptCount val="10"/>
                <c:pt idx="0">
                  <c:v>3.5296957991308546</c:v>
                </c:pt>
                <c:pt idx="1">
                  <c:v>3.3539352969579914</c:v>
                </c:pt>
                <c:pt idx="2">
                  <c:v>3.3003380009657168</c:v>
                </c:pt>
                <c:pt idx="3">
                  <c:v>3.7240652071463067</c:v>
                </c:pt>
                <c:pt idx="4">
                  <c:v>3.6469518592992367</c:v>
                </c:pt>
                <c:pt idx="5">
                  <c:v>3.6839293412483793</c:v>
                </c:pt>
                <c:pt idx="6">
                  <c:v>3.7756030095268494</c:v>
                </c:pt>
                <c:pt idx="7">
                  <c:v>3.8178610833403677</c:v>
                </c:pt>
                <c:pt idx="8">
                  <c:v>4.0561734901824931</c:v>
                </c:pt>
                <c:pt idx="9">
                  <c:v>4.3383794610496702</c:v>
                </c:pt>
              </c:numCache>
            </c:numRef>
          </c:val>
          <c:smooth val="0"/>
          <c:extLst>
            <c:ext xmlns:c16="http://schemas.microsoft.com/office/drawing/2014/chart" uri="{C3380CC4-5D6E-409C-BE32-E72D297353CC}">
              <c16:uniqueId val="{00000001-D41B-A64B-BA15-FCAD47F879A9}"/>
            </c:ext>
          </c:extLst>
        </c:ser>
        <c:dLbls>
          <c:showLegendKey val="0"/>
          <c:showVal val="0"/>
          <c:showCatName val="0"/>
          <c:showSerName val="0"/>
          <c:showPercent val="0"/>
          <c:showBubbleSize val="0"/>
        </c:dLbls>
        <c:hiLowLines>
          <c:spPr>
            <a:ln w="0">
              <a:noFill/>
            </a:ln>
          </c:spPr>
        </c:hiLowLines>
        <c:smooth val="0"/>
        <c:axId val="80160546"/>
        <c:axId val="98588730"/>
      </c:lineChart>
      <c:catAx>
        <c:axId val="8016054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mbria"/>
              </a:defRPr>
            </a:pPr>
            <a:endParaRPr lang="en-US"/>
          </a:p>
        </c:txPr>
        <c:crossAx val="98588730"/>
        <c:crosses val="autoZero"/>
        <c:auto val="1"/>
        <c:lblAlgn val="ctr"/>
        <c:lblOffset val="100"/>
        <c:noMultiLvlLbl val="0"/>
      </c:catAx>
      <c:valAx>
        <c:axId val="98588730"/>
        <c:scaling>
          <c:orientation val="minMax"/>
          <c:min val="2"/>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mbria"/>
                  </a:rPr>
                  <a:t>EPS ($)</a:t>
                </a:r>
              </a:p>
            </c:rich>
          </c:tx>
          <c:layout>
            <c:manualLayout>
              <c:xMode val="edge"/>
              <c:yMode val="edge"/>
              <c:x val="1.2444694370790004E-2"/>
              <c:y val="0.42455392128991642"/>
            </c:manualLayout>
          </c:layout>
          <c:overlay val="0"/>
          <c:spPr>
            <a:noFill/>
            <a:ln w="0">
              <a:noFill/>
            </a:ln>
          </c:spPr>
        </c:title>
        <c:numFmt formatCode="0.00" sourceLinked="0"/>
        <c:majorTickMark val="none"/>
        <c:minorTickMark val="none"/>
        <c:tickLblPos val="nextTo"/>
        <c:spPr>
          <a:ln w="0">
            <a:solidFill>
              <a:srgbClr val="B3B3B3"/>
            </a:solidFill>
          </a:ln>
        </c:spPr>
        <c:txPr>
          <a:bodyPr/>
          <a:lstStyle/>
          <a:p>
            <a:pPr>
              <a:defRPr sz="1100" b="0" u="none" strike="noStrike">
                <a:solidFill>
                  <a:srgbClr val="000000"/>
                </a:solidFill>
                <a:uFillTx/>
                <a:latin typeface="Cambria"/>
              </a:defRPr>
            </a:pPr>
            <a:endParaRPr lang="en-US"/>
          </a:p>
        </c:txPr>
        <c:crossAx val="80160546"/>
        <c:crosses val="autoZero"/>
        <c:crossBetween val="between"/>
      </c:valAx>
      <c:spPr>
        <a:solidFill>
          <a:srgbClr val="FFFFFF"/>
        </a:solidFill>
        <a:ln w="0">
          <a:solidFill>
            <a:srgbClr val="DADADA"/>
          </a:solidFill>
        </a:ln>
      </c:spPr>
    </c:plotArea>
    <c:legend>
      <c:legendPos val="r"/>
      <c:layout>
        <c:manualLayout>
          <c:xMode val="edge"/>
          <c:yMode val="edge"/>
          <c:x val="0.70627630087958837"/>
          <c:y val="0.41234430986973875"/>
          <c:w val="0.28474614371581725"/>
          <c:h val="0.1310373246004034"/>
        </c:manualLayout>
      </c:layout>
      <c:overlay val="0"/>
      <c:spPr>
        <a:noFill/>
        <a:ln w="0">
          <a:noFill/>
        </a:ln>
      </c:spPr>
      <c:txPr>
        <a:bodyPr/>
        <a:lstStyle/>
        <a:p>
          <a:pPr>
            <a:defRPr sz="1000" b="0" u="none" strike="noStrike">
              <a:solidFill>
                <a:srgbClr val="000000"/>
              </a:solidFill>
              <a:uFillTx/>
              <a:latin typeface="Cambria"/>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mbria"/>
              </a:rPr>
              <a:t>Dividend vs. Earnings Growth (y/y)</a:t>
            </a:r>
          </a:p>
        </c:rich>
      </c:tx>
      <c:overlay val="0"/>
      <c:spPr>
        <a:noFill/>
        <a:ln w="0">
          <a:noFill/>
        </a:ln>
      </c:spPr>
    </c:title>
    <c:autoTitleDeleted val="0"/>
    <c:plotArea>
      <c:layout/>
      <c:lineChart>
        <c:grouping val="standard"/>
        <c:varyColors val="0"/>
        <c:ser>
          <c:idx val="0"/>
          <c:order val="0"/>
          <c:tx>
            <c:v>Adj. EPS growth</c:v>
          </c:tx>
          <c:spPr>
            <a:ln w="28440">
              <a:solidFill>
                <a:srgbClr val="281F5D"/>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Dashboard!$D$11:$L$11</c:f>
              <c:strCache>
                <c:ptCount val="9"/>
                <c:pt idx="0">
                  <c:v>2024A</c:v>
                </c:pt>
                <c:pt idx="1">
                  <c:v>2025A</c:v>
                </c:pt>
                <c:pt idx="2">
                  <c:v>2026E</c:v>
                </c:pt>
                <c:pt idx="3">
                  <c:v>2027E</c:v>
                </c:pt>
                <c:pt idx="4">
                  <c:v>2028E</c:v>
                </c:pt>
                <c:pt idx="5">
                  <c:v>2029E</c:v>
                </c:pt>
                <c:pt idx="6">
                  <c:v>2030E</c:v>
                </c:pt>
                <c:pt idx="7">
                  <c:v>2031E</c:v>
                </c:pt>
                <c:pt idx="8">
                  <c:v>2032E</c:v>
                </c:pt>
              </c:strCache>
            </c:strRef>
          </c:cat>
          <c:val>
            <c:numRef>
              <c:f>Dashboard!$D$20:$L$20</c:f>
              <c:numCache>
                <c:formatCode>0.0%</c:formatCode>
                <c:ptCount val="9"/>
                <c:pt idx="0">
                  <c:v>8.2018927444795109E-2</c:v>
                </c:pt>
                <c:pt idx="1">
                  <c:v>8.1632653061224358E-2</c:v>
                </c:pt>
                <c:pt idx="2">
                  <c:v>7.8171488961281455E-2</c:v>
                </c:pt>
                <c:pt idx="3">
                  <c:v>7.8703175730057362E-2</c:v>
                </c:pt>
                <c:pt idx="4">
                  <c:v>7.9262966581617134E-2</c:v>
                </c:pt>
                <c:pt idx="5">
                  <c:v>7.8970610356870585E-2</c:v>
                </c:pt>
                <c:pt idx="6">
                  <c:v>7.8853512425650862E-2</c:v>
                </c:pt>
                <c:pt idx="7">
                  <c:v>7.9389030702163854E-2</c:v>
                </c:pt>
                <c:pt idx="8">
                  <c:v>7.8612200146833011E-2</c:v>
                </c:pt>
              </c:numCache>
            </c:numRef>
          </c:val>
          <c:smooth val="0"/>
          <c:extLst>
            <c:ext xmlns:c16="http://schemas.microsoft.com/office/drawing/2014/chart" uri="{C3380CC4-5D6E-409C-BE32-E72D297353CC}">
              <c16:uniqueId val="{00000000-8D80-4043-B99A-723CCE865625}"/>
            </c:ext>
          </c:extLst>
        </c:ser>
        <c:ser>
          <c:idx val="1"/>
          <c:order val="1"/>
          <c:tx>
            <c:v>DPS growth</c:v>
          </c:tx>
          <c:spPr>
            <a:ln w="28440">
              <a:solidFill>
                <a:srgbClr val="C0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Dashboard!$D$11:$L$11</c:f>
              <c:strCache>
                <c:ptCount val="9"/>
                <c:pt idx="0">
                  <c:v>2024A</c:v>
                </c:pt>
                <c:pt idx="1">
                  <c:v>2025A</c:v>
                </c:pt>
                <c:pt idx="2">
                  <c:v>2026E</c:v>
                </c:pt>
                <c:pt idx="3">
                  <c:v>2027E</c:v>
                </c:pt>
                <c:pt idx="4">
                  <c:v>2028E</c:v>
                </c:pt>
                <c:pt idx="5">
                  <c:v>2029E</c:v>
                </c:pt>
                <c:pt idx="6">
                  <c:v>2030E</c:v>
                </c:pt>
                <c:pt idx="7">
                  <c:v>2031E</c:v>
                </c:pt>
                <c:pt idx="8">
                  <c:v>2032E</c:v>
                </c:pt>
              </c:strCache>
            </c:strRef>
          </c:cat>
          <c:val>
            <c:numRef>
              <c:f>Dashboard!$D$21:$L$21</c:f>
              <c:numCache>
                <c:formatCode>0.0%</c:formatCode>
                <c:ptCount val="9"/>
                <c:pt idx="0">
                  <c:v>0.10160427807486627</c:v>
                </c:pt>
                <c:pt idx="1">
                  <c:v>0.10194174757281549</c:v>
                </c:pt>
                <c:pt idx="2">
                  <c:v>0.10010000000000008</c:v>
                </c:pt>
                <c:pt idx="3">
                  <c:v>6.0000000000000053E-2</c:v>
                </c:pt>
                <c:pt idx="4">
                  <c:v>6.0000000000000053E-2</c:v>
                </c:pt>
                <c:pt idx="5">
                  <c:v>5.5714285714285605E-2</c:v>
                </c:pt>
                <c:pt idx="6">
                  <c:v>5.1428571428571379E-2</c:v>
                </c:pt>
                <c:pt idx="7">
                  <c:v>4.7142857142857153E-2</c:v>
                </c:pt>
                <c:pt idx="8">
                  <c:v>4.2857142857142927E-2</c:v>
                </c:pt>
              </c:numCache>
            </c:numRef>
          </c:val>
          <c:smooth val="0"/>
          <c:extLst>
            <c:ext xmlns:c16="http://schemas.microsoft.com/office/drawing/2014/chart" uri="{C3380CC4-5D6E-409C-BE32-E72D297353CC}">
              <c16:uniqueId val="{00000001-8D80-4043-B99A-723CCE865625}"/>
            </c:ext>
          </c:extLst>
        </c:ser>
        <c:dLbls>
          <c:showLegendKey val="0"/>
          <c:showVal val="0"/>
          <c:showCatName val="0"/>
          <c:showSerName val="0"/>
          <c:showPercent val="0"/>
          <c:showBubbleSize val="0"/>
        </c:dLbls>
        <c:hiLowLines>
          <c:spPr>
            <a:ln w="0">
              <a:noFill/>
            </a:ln>
          </c:spPr>
        </c:hiLowLines>
        <c:smooth val="0"/>
        <c:axId val="5037794"/>
        <c:axId val="34735813"/>
      </c:lineChart>
      <c:catAx>
        <c:axId val="5037794"/>
        <c:scaling>
          <c:orientation val="minMax"/>
        </c:scaling>
        <c:delete val="0"/>
        <c:axPos val="b"/>
        <c:numFmt formatCode="General" sourceLinked="0"/>
        <c:majorTickMark val="none"/>
        <c:minorTickMark val="none"/>
        <c:tickLblPos val="nextTo"/>
        <c:spPr>
          <a:ln w="0">
            <a:solidFill>
              <a:srgbClr val="B3B3B3"/>
            </a:solidFill>
          </a:ln>
        </c:spPr>
        <c:txPr>
          <a:bodyPr rot="-2700000" spcFirstLastPara="1" vertOverflow="ellipsis" vert="horz" wrap="square" anchor="ctr" anchorCtr="1"/>
          <a:lstStyle/>
          <a:p>
            <a:pPr>
              <a:defRPr sz="1000" b="0" u="none" strike="noStrike">
                <a:solidFill>
                  <a:srgbClr val="000000"/>
                </a:solidFill>
                <a:uFillTx/>
                <a:latin typeface="Cambria"/>
              </a:defRPr>
            </a:pPr>
            <a:endParaRPr lang="en-US"/>
          </a:p>
        </c:txPr>
        <c:crossAx val="34735813"/>
        <c:crosses val="autoZero"/>
        <c:auto val="1"/>
        <c:lblAlgn val="ctr"/>
        <c:lblOffset val="100"/>
        <c:noMultiLvlLbl val="0"/>
      </c:catAx>
      <c:valAx>
        <c:axId val="34735813"/>
        <c:scaling>
          <c:orientation val="minMax"/>
          <c:min val="3.0000000000000006E-2"/>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mbria"/>
                  </a:rPr>
                  <a:t>y/y growth</a:t>
                </a:r>
              </a:p>
            </c:rich>
          </c:tx>
          <c:layout>
            <c:manualLayout>
              <c:xMode val="edge"/>
              <c:yMode val="edge"/>
              <c:x val="1.2602540354591161E-2"/>
              <c:y val="0.38746910242545962"/>
            </c:manualLayout>
          </c:layout>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mbria"/>
              </a:defRPr>
            </a:pPr>
            <a:endParaRPr lang="en-US"/>
          </a:p>
        </c:txPr>
        <c:crossAx val="5037794"/>
        <c:crosses val="autoZero"/>
        <c:crossBetween val="between"/>
      </c:valAx>
      <c:spPr>
        <a:solidFill>
          <a:srgbClr val="FFFFFF"/>
        </a:solidFill>
        <a:ln w="0">
          <a:solidFill>
            <a:srgbClr val="DADADA"/>
          </a:solidFill>
        </a:ln>
      </c:spPr>
    </c:plotArea>
    <c:legend>
      <c:legendPos val="r"/>
      <c:overlay val="0"/>
      <c:spPr>
        <a:noFill/>
        <a:ln w="0">
          <a:noFill/>
        </a:ln>
      </c:spPr>
      <c:txPr>
        <a:bodyPr/>
        <a:lstStyle/>
        <a:p>
          <a:pPr>
            <a:defRPr sz="1000" b="0" u="none" strike="noStrike">
              <a:solidFill>
                <a:srgbClr val="000000"/>
              </a:solidFill>
              <a:uFillTx/>
              <a:latin typeface="Cambria"/>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mbria"/>
              </a:rPr>
              <a:t>Forward P/E: NEE vs. Peers</a:t>
            </a:r>
          </a:p>
        </c:rich>
      </c:tx>
      <c:overlay val="0"/>
      <c:spPr>
        <a:noFill/>
        <a:ln w="0">
          <a:noFill/>
        </a:ln>
      </c:spPr>
    </c:title>
    <c:autoTitleDeleted val="0"/>
    <c:plotArea>
      <c:layout/>
      <c:barChart>
        <c:barDir val="col"/>
        <c:grouping val="clustered"/>
        <c:varyColors val="0"/>
        <c:ser>
          <c:idx val="0"/>
          <c:order val="0"/>
          <c:tx>
            <c:v>Forward P/E (x)</c:v>
          </c:tx>
          <c:spPr>
            <a:solidFill>
              <a:srgbClr val="281F5D"/>
            </a:solidFill>
            <a:ln w="0">
              <a:solidFill>
                <a:srgbClr val="000000"/>
              </a:solidFill>
            </a:ln>
          </c:spPr>
          <c:invertIfNegative val="0"/>
          <c:dPt>
            <c:idx val="1"/>
            <c:invertIfNegative val="0"/>
            <c:bubble3D val="0"/>
            <c:spPr>
              <a:solidFill>
                <a:srgbClr val="A6A6A6"/>
              </a:solidFill>
              <a:ln w="0">
                <a:solidFill>
                  <a:srgbClr val="000000"/>
                </a:solidFill>
              </a:ln>
            </c:spPr>
            <c:extLst>
              <c:ext xmlns:c16="http://schemas.microsoft.com/office/drawing/2014/chart" uri="{C3380CC4-5D6E-409C-BE32-E72D297353CC}">
                <c16:uniqueId val="{00000001-9C9E-094C-B9FC-DA642B95F72B}"/>
              </c:ext>
            </c:extLst>
          </c:dPt>
          <c:dPt>
            <c:idx val="2"/>
            <c:invertIfNegative val="0"/>
            <c:bubble3D val="0"/>
            <c:spPr>
              <a:solidFill>
                <a:srgbClr val="A6A6A6"/>
              </a:solidFill>
              <a:ln w="0">
                <a:solidFill>
                  <a:srgbClr val="000000"/>
                </a:solidFill>
              </a:ln>
            </c:spPr>
            <c:extLst>
              <c:ext xmlns:c16="http://schemas.microsoft.com/office/drawing/2014/chart" uri="{C3380CC4-5D6E-409C-BE32-E72D297353CC}">
                <c16:uniqueId val="{00000002-9C9E-094C-B9FC-DA642B95F72B}"/>
              </c:ext>
            </c:extLst>
          </c:dPt>
          <c:dLbls>
            <c:numFmt formatCode="0.0&quot;x&quot;" sourceLinked="0"/>
            <c:spPr>
              <a:noFill/>
              <a:ln>
                <a:noFill/>
              </a:ln>
              <a:effectLst/>
            </c:spPr>
            <c:txPr>
              <a:bodyPr wrap="square"/>
              <a:lstStyle/>
              <a:p>
                <a:pPr>
                  <a:defRPr sz="1100" b="1" u="none" strike="noStrike">
                    <a:solidFill>
                      <a:srgbClr val="FFFFFF"/>
                    </a:solidFill>
                    <a:uFillTx/>
                    <a:latin typeface="Cambria"/>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'SOTP &amp; Multiples'!$B$66:$B$68</c:f>
              <c:strCache>
                <c:ptCount val="3"/>
                <c:pt idx="0">
                  <c:v>NEE</c:v>
                </c:pt>
                <c:pt idx="1">
                  <c:v>FPL Regulated Peers</c:v>
                </c:pt>
                <c:pt idx="2">
                  <c:v>NEER Renewables/IPP Peers</c:v>
                </c:pt>
              </c:strCache>
            </c:strRef>
          </c:cat>
          <c:val>
            <c:numRef>
              <c:f>'SOTP &amp; Multiples'!$C$66:$C$68</c:f>
              <c:numCache>
                <c:formatCode>0.0\x</c:formatCode>
                <c:ptCount val="3"/>
                <c:pt idx="0">
                  <c:v>21.637412238405211</c:v>
                </c:pt>
                <c:pt idx="1">
                  <c:v>20.876591537712144</c:v>
                </c:pt>
                <c:pt idx="2">
                  <c:v>17.677421455007163</c:v>
                </c:pt>
              </c:numCache>
            </c:numRef>
          </c:val>
          <c:extLst>
            <c:ext xmlns:c16="http://schemas.microsoft.com/office/drawing/2014/chart" uri="{C3380CC4-5D6E-409C-BE32-E72D297353CC}">
              <c16:uniqueId val="{00000000-9C9E-094C-B9FC-DA642B95F72B}"/>
            </c:ext>
          </c:extLst>
        </c:ser>
        <c:dLbls>
          <c:dLblPos val="ctr"/>
          <c:showLegendKey val="0"/>
          <c:showVal val="1"/>
          <c:showCatName val="0"/>
          <c:showSerName val="0"/>
          <c:showPercent val="0"/>
          <c:showBubbleSize val="0"/>
        </c:dLbls>
        <c:gapWidth val="150"/>
        <c:axId val="12989928"/>
        <c:axId val="78517342"/>
      </c:barChart>
      <c:catAx>
        <c:axId val="1298992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mbria"/>
              </a:defRPr>
            </a:pPr>
            <a:endParaRPr lang="en-US"/>
          </a:p>
        </c:txPr>
        <c:crossAx val="78517342"/>
        <c:crosses val="autoZero"/>
        <c:auto val="1"/>
        <c:lblAlgn val="ctr"/>
        <c:lblOffset val="100"/>
        <c:noMultiLvlLbl val="0"/>
      </c:catAx>
      <c:valAx>
        <c:axId val="78517342"/>
        <c:scaling>
          <c:orientation val="minMax"/>
          <c:min val="10"/>
        </c:scaling>
        <c:delete val="0"/>
        <c:axPos val="l"/>
        <c:majorGridlines>
          <c:spPr>
            <a:ln w="0">
              <a:solidFill>
                <a:srgbClr val="B3B3B3"/>
              </a:solidFill>
            </a:ln>
          </c:spPr>
        </c:majorGridlines>
        <c:title>
          <c:tx>
            <c:rich>
              <a:bodyPr rot="-5400000"/>
              <a:lstStyle/>
              <a:p>
                <a:pPr>
                  <a:defRPr sz="1200" b="0" u="none" strike="noStrike">
                    <a:uFillTx/>
                    <a:latin typeface="Arial"/>
                  </a:defRPr>
                </a:pPr>
                <a:r>
                  <a:rPr lang="en-US" sz="1200" b="1" u="none" strike="noStrike">
                    <a:solidFill>
                      <a:srgbClr val="000000"/>
                    </a:solidFill>
                    <a:uFillTx/>
                    <a:latin typeface="Cambria"/>
                  </a:rPr>
                  <a:t>P/E</a:t>
                </a:r>
              </a:p>
            </c:rich>
          </c:tx>
          <c:layout>
            <c:manualLayout>
              <c:xMode val="edge"/>
              <c:yMode val="edge"/>
              <c:x val="1.0448065709283806E-2"/>
              <c:y val="0.49087373448717025"/>
            </c:manualLayout>
          </c:layout>
          <c:overlay val="0"/>
          <c:spPr>
            <a:noFill/>
            <a:ln w="0">
              <a:noFill/>
            </a:ln>
          </c:spPr>
        </c:title>
        <c:numFmt formatCode="0.0\x" sourceLinked="0"/>
        <c:majorTickMark val="none"/>
        <c:minorTickMark val="none"/>
        <c:tickLblPos val="nextTo"/>
        <c:spPr>
          <a:ln w="0">
            <a:solidFill>
              <a:srgbClr val="B3B3B3"/>
            </a:solidFill>
          </a:ln>
        </c:spPr>
        <c:txPr>
          <a:bodyPr/>
          <a:lstStyle/>
          <a:p>
            <a:pPr>
              <a:defRPr sz="1100" b="0" u="none" strike="noStrike">
                <a:solidFill>
                  <a:srgbClr val="000000"/>
                </a:solidFill>
                <a:uFillTx/>
                <a:latin typeface="Cambria"/>
              </a:defRPr>
            </a:pPr>
            <a:endParaRPr lang="en-US"/>
          </a:p>
        </c:txPr>
        <c:crossAx val="12989928"/>
        <c:crosses val="autoZero"/>
        <c:crossBetween val="between"/>
      </c:valAx>
      <c:spPr>
        <a:solidFill>
          <a:srgbClr val="FFFFFF"/>
        </a:solidFill>
        <a:ln w="0">
          <a:solidFill>
            <a:srgbClr val="DADADA"/>
          </a:solidFill>
        </a:ln>
      </c:spPr>
    </c:plotArea>
    <c:plotVisOnly val="1"/>
    <c:dispBlanksAs val="gap"/>
    <c:showDLblsOverMax val="1"/>
  </c:chart>
  <c:spPr>
    <a:noFill/>
    <a:ln w="9360">
      <a:solidFill>
        <a:srgbClr val="DADADA"/>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28223</xdr:colOff>
      <xdr:row>22</xdr:row>
      <xdr:rowOff>49386</xdr:rowOff>
    </xdr:from>
    <xdr:to>
      <xdr:col>4</xdr:col>
      <xdr:colOff>141111</xdr:colOff>
      <xdr:row>36</xdr:row>
      <xdr:rowOff>98778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28223</xdr:colOff>
      <xdr:row>37</xdr:row>
      <xdr:rowOff>155222</xdr:rowOff>
    </xdr:from>
    <xdr:to>
      <xdr:col>6</xdr:col>
      <xdr:colOff>374064</xdr:colOff>
      <xdr:row>52</xdr:row>
      <xdr:rowOff>5792</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649110</xdr:colOff>
      <xdr:row>37</xdr:row>
      <xdr:rowOff>193323</xdr:rowOff>
    </xdr:from>
    <xdr:to>
      <xdr:col>12</xdr:col>
      <xdr:colOff>677333</xdr:colOff>
      <xdr:row>52</xdr:row>
      <xdr:rowOff>28223</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254001</xdr:colOff>
      <xdr:row>37</xdr:row>
      <xdr:rowOff>183445</xdr:rowOff>
    </xdr:from>
    <xdr:to>
      <xdr:col>19</xdr:col>
      <xdr:colOff>733778</xdr:colOff>
      <xdr:row>53</xdr:row>
      <xdr:rowOff>70556</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352347</xdr:colOff>
      <xdr:row>22</xdr:row>
      <xdr:rowOff>56994</xdr:rowOff>
    </xdr:from>
    <xdr:to>
      <xdr:col>12</xdr:col>
      <xdr:colOff>437445</xdr:colOff>
      <xdr:row>36</xdr:row>
      <xdr:rowOff>112890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620890</xdr:colOff>
      <xdr:row>22</xdr:row>
      <xdr:rowOff>61891</xdr:rowOff>
    </xdr:from>
    <xdr:to>
      <xdr:col>19</xdr:col>
      <xdr:colOff>127000</xdr:colOff>
      <xdr:row>36</xdr:row>
      <xdr:rowOff>112888</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282223</xdr:colOff>
      <xdr:row>6</xdr:row>
      <xdr:rowOff>180292</xdr:rowOff>
    </xdr:from>
    <xdr:to>
      <xdr:col>18</xdr:col>
      <xdr:colOff>14111</xdr:colOff>
      <xdr:row>21</xdr:row>
      <xdr:rowOff>28224</xdr:rowOff>
    </xdr:to>
    <xdr:pic>
      <xdr:nvPicPr>
        <xdr:cNvPr id="9" name="Picture 6">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7"/>
        <a:stretch/>
      </xdr:blipFill>
      <xdr:spPr>
        <a:xfrm>
          <a:off x="9807223" y="1337403"/>
          <a:ext cx="4021666" cy="2811265"/>
        </a:xfrm>
        <a:prstGeom prst="rect">
          <a:avLst/>
        </a:prstGeom>
        <a:noFill/>
        <a:ln w="0">
          <a:solidFill>
            <a:srgbClr val="D9D9D9"/>
          </a:solid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panose="02110004020202020204"/>
        <a:ea typeface=""/>
        <a:cs typeface=""/>
      </a:majorFont>
      <a:minorFont>
        <a:latin typeface="Cambria"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81E5D"/>
  </sheetPr>
  <dimension ref="B1:Q103"/>
  <sheetViews>
    <sheetView showGridLines="0" zoomScale="90" zoomScaleNormal="93" workbookViewId="0">
      <pane ySplit="3" topLeftCell="A4" activePane="bottomLeft" state="frozen"/>
      <selection pane="bottomLeft" activeCell="W27" sqref="W27"/>
    </sheetView>
  </sheetViews>
  <sheetFormatPr baseColWidth="10" defaultColWidth="8.5703125" defaultRowHeight="16" x14ac:dyDescent="0.2"/>
  <cols>
    <col min="1" max="1" width="1.7109375" customWidth="1"/>
    <col min="2" max="2" width="26" customWidth="1"/>
    <col min="3" max="17" width="8" customWidth="1"/>
  </cols>
  <sheetData>
    <row r="1" spans="2:17" ht="9.75" customHeight="1" x14ac:dyDescent="0.2"/>
    <row r="2" spans="2:17" ht="18" customHeight="1" x14ac:dyDescent="0.2">
      <c r="B2" s="1" t="s">
        <v>0</v>
      </c>
      <c r="C2" s="2"/>
    </row>
    <row r="3" spans="2:17" ht="18" customHeight="1" x14ac:dyDescent="0.2">
      <c r="B3" s="209" t="s">
        <v>445</v>
      </c>
    </row>
    <row r="5" spans="2:17" ht="15.75" customHeight="1" x14ac:dyDescent="0.2">
      <c r="B5" s="3" t="s">
        <v>1</v>
      </c>
      <c r="C5" s="4"/>
    </row>
    <row r="6" spans="2:17" ht="15.75" customHeight="1" x14ac:dyDescent="0.2">
      <c r="B6" s="5" t="s">
        <v>2</v>
      </c>
      <c r="C6" s="6">
        <f>'DDM Model'!D33</f>
        <v>79.930551580091461</v>
      </c>
    </row>
    <row r="7" spans="2:17" ht="15.75" customHeight="1" x14ac:dyDescent="0.2">
      <c r="B7" s="5" t="s">
        <v>3</v>
      </c>
      <c r="C7" s="6">
        <f>'SOTP &amp; Multiples'!F57</f>
        <v>86.330870472083944</v>
      </c>
      <c r="Q7" s="209"/>
    </row>
    <row r="8" spans="2:17" ht="15.75" customHeight="1" x14ac:dyDescent="0.2">
      <c r="B8" s="5" t="s">
        <v>4</v>
      </c>
      <c r="C8" s="6">
        <f>'Residual Income Model'!D32</f>
        <v>107.3420717062917</v>
      </c>
    </row>
    <row r="9" spans="2:17" ht="15.75" customHeight="1" x14ac:dyDescent="0.2">
      <c r="B9" s="5" t="s">
        <v>5</v>
      </c>
      <c r="C9" s="6">
        <f>'DDM Model'!D13</f>
        <v>86.55</v>
      </c>
    </row>
    <row r="11" spans="2:17" ht="15.75" customHeight="1" x14ac:dyDescent="0.2">
      <c r="B11" s="7" t="s">
        <v>6</v>
      </c>
      <c r="C11" s="8" t="s">
        <v>7</v>
      </c>
      <c r="D11" s="8" t="s">
        <v>8</v>
      </c>
      <c r="E11" s="8" t="s">
        <v>9</v>
      </c>
      <c r="F11" s="9" t="s">
        <v>10</v>
      </c>
      <c r="G11" s="9" t="s">
        <v>11</v>
      </c>
      <c r="H11" s="9" t="s">
        <v>12</v>
      </c>
      <c r="I11" s="9" t="s">
        <v>13</v>
      </c>
      <c r="J11" s="9" t="s">
        <v>14</v>
      </c>
      <c r="K11" s="9" t="s">
        <v>15</v>
      </c>
      <c r="L11" s="9" t="s">
        <v>16</v>
      </c>
    </row>
    <row r="12" spans="2:17" ht="15.75" customHeight="1" x14ac:dyDescent="0.2">
      <c r="B12" s="5" t="s">
        <v>17</v>
      </c>
      <c r="C12" s="10">
        <f>'3-Statement Model'!J18</f>
        <v>28114</v>
      </c>
      <c r="D12" s="10">
        <f>'3-Statement Model'!K18</f>
        <v>24753</v>
      </c>
      <c r="E12" s="10">
        <f>'3-Statement Model'!L18</f>
        <v>27412</v>
      </c>
      <c r="F12" s="10">
        <f>'3-Statement Model'!M18</f>
        <v>30153.200000000001</v>
      </c>
      <c r="G12" s="10">
        <f>'3-Statement Model'!N18</f>
        <v>33168.520000000004</v>
      </c>
      <c r="H12" s="10">
        <f>'3-Statement Model'!O18</f>
        <v>36419.034960000005</v>
      </c>
      <c r="I12" s="10">
        <f>'3-Statement Model'!P18</f>
        <v>39878.843281200003</v>
      </c>
      <c r="J12" s="10">
        <f>'3-Statement Model'!Q18</f>
        <v>43587.575706351599</v>
      </c>
      <c r="K12" s="10">
        <f>'3-Statement Model'!R18</f>
        <v>47597.632671335952</v>
      </c>
      <c r="L12" s="10">
        <f>'3-Statement Model'!S18</f>
        <v>51929.017244427523</v>
      </c>
    </row>
    <row r="13" spans="2:17" ht="15.75" customHeight="1" x14ac:dyDescent="0.2">
      <c r="B13" s="5" t="s">
        <v>18</v>
      </c>
      <c r="C13" s="11">
        <v>3.17</v>
      </c>
      <c r="D13" s="11">
        <v>3.43</v>
      </c>
      <c r="E13" s="11">
        <v>3.71</v>
      </c>
      <c r="F13" s="11">
        <f>'Residual Income Model'!C17</f>
        <v>4.0000162240463544</v>
      </c>
      <c r="G13" s="11">
        <f>'Residual Income Model'!D17</f>
        <v>4.3148302038505548</v>
      </c>
      <c r="H13" s="11">
        <f>'Residual Income Model'!E17</f>
        <v>4.6568364461037133</v>
      </c>
      <c r="I13" s="11">
        <f>'Residual Income Model'!F17</f>
        <v>5.0245896625846438</v>
      </c>
      <c r="J13" s="11">
        <f>'Residual Income Model'!G17</f>
        <v>5.4207962059770587</v>
      </c>
      <c r="K13" s="11">
        <f>'Residual Income Model'!H17</f>
        <v>5.8511479624035445</v>
      </c>
      <c r="L13" s="11">
        <f>'Residual Income Model'!I17</f>
        <v>6.3111195771127466</v>
      </c>
    </row>
    <row r="14" spans="2:17" ht="15.75" customHeight="1" x14ac:dyDescent="0.2">
      <c r="B14" s="5" t="s">
        <v>19</v>
      </c>
      <c r="C14" s="11">
        <v>1.87</v>
      </c>
      <c r="D14" s="11">
        <v>2.06</v>
      </c>
      <c r="E14" s="11">
        <v>2.27</v>
      </c>
      <c r="F14" s="11">
        <f>'DDM Model'!C21</f>
        <v>2.4972270000000001</v>
      </c>
      <c r="G14" s="11">
        <f>'DDM Model'!D21</f>
        <v>2.6470606200000004</v>
      </c>
      <c r="H14" s="11">
        <f>'DDM Model'!E21</f>
        <v>2.8058842572000007</v>
      </c>
      <c r="I14" s="11">
        <f>'DDM Model'!F21</f>
        <v>2.9622120943868575</v>
      </c>
      <c r="J14" s="11">
        <f>'DDM Model'!G21</f>
        <v>3.1145544306696102</v>
      </c>
      <c r="K14" s="11">
        <f>'DDM Model'!H21</f>
        <v>3.2613834252583205</v>
      </c>
      <c r="L14" s="11">
        <f>'DDM Model'!I21</f>
        <v>3.4011570006265344</v>
      </c>
    </row>
    <row r="15" spans="2:17" ht="15.75" customHeight="1" x14ac:dyDescent="0.2">
      <c r="B15" s="5" t="s">
        <v>20</v>
      </c>
      <c r="C15" s="10">
        <f>-'3-Statement Model'!J37</f>
        <v>25113</v>
      </c>
      <c r="D15" s="10">
        <f>-'3-Statement Model'!K37</f>
        <v>24729</v>
      </c>
      <c r="E15" s="10">
        <f>-'3-Statement Model'!L37</f>
        <v>24606</v>
      </c>
      <c r="F15" s="10">
        <f>-'3-Statement Model'!M37</f>
        <v>27999.959988000002</v>
      </c>
      <c r="G15" s="10">
        <f>-'3-Statement Model'!N37</f>
        <v>30500.112566000003</v>
      </c>
      <c r="H15" s="10">
        <f>-'3-Statement Model'!O37</f>
        <v>32440.983771319203</v>
      </c>
      <c r="I15" s="10">
        <f>-'3-Statement Model'!P37</f>
        <v>34437.375115480267</v>
      </c>
      <c r="J15" s="10">
        <f>-'3-Statement Model'!Q37</f>
        <v>36033.412960683803</v>
      </c>
      <c r="K15" s="10">
        <f>-'3-Statement Model'!R37</f>
        <v>37776.813122259206</v>
      </c>
      <c r="L15" s="10">
        <f>-'3-Statement Model'!S37</f>
        <v>38670.500561580287</v>
      </c>
    </row>
    <row r="16" spans="2:17" ht="15.75" customHeight="1" x14ac:dyDescent="0.2">
      <c r="B16" s="5" t="s">
        <v>21</v>
      </c>
      <c r="C16" s="12">
        <f>('3-Statement Model'!J51-'3-Statement Model'!J47)/'3-Statement Model'!J22</f>
        <v>4.375837676842889</v>
      </c>
      <c r="D16" s="12">
        <f>('3-Statement Model'!K51-'3-Statement Model'!K47)/'3-Statement Model'!K22</f>
        <v>6.2472760992195351</v>
      </c>
      <c r="E16" s="12">
        <f>('3-Statement Model'!L51-'3-Statement Model'!L47)/'3-Statement Model'!L22</f>
        <v>6.2454239569313597</v>
      </c>
      <c r="F16" s="12">
        <f>('3-Statement Model'!M51-'3-Statement Model'!M47)/'3-Statement Model'!M22</f>
        <v>6.7177826108826855</v>
      </c>
      <c r="G16" s="12">
        <f>('3-Statement Model'!N51-'3-Statement Model'!N47)/'3-Statement Model'!N22</f>
        <v>6.7177826108826855</v>
      </c>
      <c r="H16" s="12">
        <f>('3-Statement Model'!O51-'3-Statement Model'!O47)/'3-Statement Model'!O22</f>
        <v>6.7177826108826855</v>
      </c>
      <c r="I16" s="12">
        <f>('3-Statement Model'!P51-'3-Statement Model'!P47)/'3-Statement Model'!P22</f>
        <v>6.7177826108826855</v>
      </c>
      <c r="J16" s="12">
        <f>('3-Statement Model'!Q51-'3-Statement Model'!Q47)/'3-Statement Model'!Q22</f>
        <v>6.7177826108826846</v>
      </c>
      <c r="K16" s="12">
        <f>('3-Statement Model'!R51-'3-Statement Model'!R47)/'3-Statement Model'!R22</f>
        <v>6.7177826108826855</v>
      </c>
      <c r="L16" s="12">
        <f>('3-Statement Model'!S51-'3-Statement Model'!S47)/'3-Statement Model'!S22</f>
        <v>6.7177826108826855</v>
      </c>
    </row>
    <row r="17" spans="2:12" ht="15.75" customHeight="1" x14ac:dyDescent="0.2">
      <c r="B17" s="5" t="s">
        <v>22</v>
      </c>
      <c r="C17" s="13">
        <f>('3-Statement Model'!J24*(1-'3-Statement Model'!J12))/('3-Statement Model'!J51+'3-Statement Model'!J53+'3-Statement Model'!J54-'3-Statement Model'!J47)</f>
        <v>6.8781691436781492E-2</v>
      </c>
      <c r="D17" s="13">
        <f>('3-Statement Model'!K24*(1-'3-Statement Model'!K12))/('3-Statement Model'!K51+'3-Statement Model'!K53+'3-Statement Model'!K54-'3-Statement Model'!K47)</f>
        <v>4.9955602292789364E-2</v>
      </c>
      <c r="E17" s="13">
        <f>('3-Statement Model'!L24*(1-'3-Statement Model'!L12))/('3-Statement Model'!L51+'3-Statement Model'!L53+'3-Statement Model'!L54-'3-Statement Model'!L47)</f>
        <v>6.1184958406691178E-2</v>
      </c>
      <c r="F17" s="13">
        <f>('3-Statement Model'!M24*(1-'3-Statement Model'!M12))/('3-Statement Model'!M51+'3-Statement Model'!M53+'3-Statement Model'!M54-'3-Statement Model'!M47)</f>
        <v>5.0952356609976324E-2</v>
      </c>
      <c r="G17" s="13">
        <f>('3-Statement Model'!N24*(1-'3-Statement Model'!N12))/('3-Statement Model'!N51+'3-Statement Model'!N53+'3-Statement Model'!N54-'3-Statement Model'!N47)</f>
        <v>4.7997172736482477E-2</v>
      </c>
      <c r="H17" s="13">
        <f>('3-Statement Model'!O24*(1-'3-Statement Model'!O12))/('3-Statement Model'!O51+'3-Statement Model'!O53+'3-Statement Model'!O54-'3-Statement Model'!O47)</f>
        <v>4.5628087762763385E-2</v>
      </c>
      <c r="I17" s="13">
        <f>('3-Statement Model'!P24*(1-'3-Statement Model'!P12))/('3-Statement Model'!P51+'3-Statement Model'!P53+'3-Statement Model'!P54-'3-Statement Model'!P47)</f>
        <v>4.3739095221501351E-2</v>
      </c>
      <c r="J17" s="13">
        <f>('3-Statement Model'!Q24*(1-'3-Statement Model'!Q12))/('3-Statement Model'!Q51+'3-Statement Model'!Q53+'3-Statement Model'!Q54-'3-Statement Model'!Q47)</f>
        <v>4.2345572199746918E-2</v>
      </c>
      <c r="K17" s="13">
        <f>('3-Statement Model'!R24*(1-'3-Statement Model'!R12))/('3-Statement Model'!R51+'3-Statement Model'!R53+'3-Statement Model'!R54-'3-Statement Model'!R47)</f>
        <v>4.1904762563651929E-2</v>
      </c>
      <c r="L17" s="13">
        <f>('3-Statement Model'!S24*(1-'3-Statement Model'!S12))/('3-Statement Model'!S51+'3-Statement Model'!S53+'3-Statement Model'!S54-'3-Statement Model'!S47)</f>
        <v>4.1950883838569882E-2</v>
      </c>
    </row>
    <row r="18" spans="2:12" ht="15.75" customHeight="1" x14ac:dyDescent="0.2">
      <c r="B18" s="5" t="s">
        <v>23</v>
      </c>
      <c r="C18" s="13">
        <f>('3-Statement Model'!J53/('3-Statement Model'!J53+'3-Statement Model'!J54+'3-Statement Model'!J51))*'DDM Model'!$D$9+('3-Statement Model'!J54/('3-Statement Model'!J53+'3-Statement Model'!J54+'3-Statement Model'!J51))*'3-Statement Model'!J14*(1-0.21)+('3-Statement Model'!J51/('3-Statement Model'!J53+'3-Statement Model'!J54+'3-Statement Model'!J51))*'3-Statement Model'!J14*(1-0.21)</f>
        <v>4.1738539543189013E-2</v>
      </c>
      <c r="D18" s="13">
        <f>('3-Statement Model'!K53/('3-Statement Model'!K53+'3-Statement Model'!K54+'3-Statement Model'!K51))*'DDM Model'!$D$9+('3-Statement Model'!K54/('3-Statement Model'!K53+'3-Statement Model'!K54+'3-Statement Model'!K51))*'3-Statement Model'!K14*(1-0.21)+('3-Statement Model'!K51/('3-Statement Model'!K53+'3-Statement Model'!K54+'3-Statement Model'!K51))*'3-Statement Model'!K14*(1-0.21)</f>
        <v>4.105095057402805E-2</v>
      </c>
      <c r="E18" s="13">
        <f>('3-Statement Model'!L53/('3-Statement Model'!L53+'3-Statement Model'!L54+'3-Statement Model'!L51))*'DDM Model'!$D$9+('3-Statement Model'!L54/('3-Statement Model'!L53+'3-Statement Model'!L54+'3-Statement Model'!L51))*'3-Statement Model'!L14*(1-0.21)+('3-Statement Model'!L51/('3-Statement Model'!L53+'3-Statement Model'!L54+'3-Statement Model'!L51))*'3-Statement Model'!L14*(1-0.21)</f>
        <v>4.267105768458327E-2</v>
      </c>
      <c r="F18" s="13">
        <f>('3-Statement Model'!M53/('3-Statement Model'!M53+'3-Statement Model'!M54+'3-Statement Model'!M51))*'DDM Model'!$D$9+('3-Statement Model'!M54/('3-Statement Model'!M53+'3-Statement Model'!M54+'3-Statement Model'!M51))*'3-Statement Model'!M14*(1-0.21)+('3-Statement Model'!M51/('3-Statement Model'!M53+'3-Statement Model'!M54+'3-Statement Model'!M51))*'3-Statement Model'!M14*(1-0.21)</f>
        <v>4.4179864952015854E-2</v>
      </c>
      <c r="G18" s="13">
        <f>('3-Statement Model'!N53/('3-Statement Model'!N53+'3-Statement Model'!N54+'3-Statement Model'!N51))*'DDM Model'!$D$9+('3-Statement Model'!N54/('3-Statement Model'!N53+'3-Statement Model'!N54+'3-Statement Model'!N51))*'3-Statement Model'!N14*(1-0.21)+('3-Statement Model'!N51/('3-Statement Model'!N53+'3-Statement Model'!N54+'3-Statement Model'!N51))*'3-Statement Model'!N14*(1-0.21)</f>
        <v>4.4891138569751771E-2</v>
      </c>
      <c r="H18" s="13">
        <f>('3-Statement Model'!O53/('3-Statement Model'!O53+'3-Statement Model'!O54+'3-Statement Model'!O51))*'DDM Model'!$D$9+('3-Statement Model'!O54/('3-Statement Model'!O53+'3-Statement Model'!O54+'3-Statement Model'!O51))*'3-Statement Model'!O14*(1-0.21)+('3-Statement Model'!O51/('3-Statement Model'!O53+'3-Statement Model'!O54+'3-Statement Model'!O51))*'3-Statement Model'!O14*(1-0.21)</f>
        <v>4.5641055242779588E-2</v>
      </c>
      <c r="I18" s="13">
        <f>('3-Statement Model'!P53/('3-Statement Model'!P53+'3-Statement Model'!P54+'3-Statement Model'!P51))*'DDM Model'!$D$9+('3-Statement Model'!P54/('3-Statement Model'!P53+'3-Statement Model'!P54+'3-Statement Model'!P51))*'3-Statement Model'!P14*(1-0.21)+('3-Statement Model'!P51/('3-Statement Model'!P53+'3-Statement Model'!P54+'3-Statement Model'!P51))*'3-Statement Model'!P14*(1-0.21)</f>
        <v>4.5882651101106453E-2</v>
      </c>
      <c r="J18" s="13">
        <f>('3-Statement Model'!Q53/('3-Statement Model'!Q53+'3-Statement Model'!Q54+'3-Statement Model'!Q51))*'DDM Model'!$D$9+('3-Statement Model'!Q54/('3-Statement Model'!Q53+'3-Statement Model'!Q54+'3-Statement Model'!Q51))*'3-Statement Model'!Q14*(1-0.21)+('3-Statement Model'!Q51/('3-Statement Model'!Q53+'3-Statement Model'!Q54+'3-Statement Model'!Q51))*'3-Statement Model'!Q14*(1-0.21)</f>
        <v>4.6730657245701503E-2</v>
      </c>
      <c r="K18" s="13">
        <f>('3-Statement Model'!R53/('3-Statement Model'!R53+'3-Statement Model'!R54+'3-Statement Model'!R51))*'DDM Model'!$D$9+('3-Statement Model'!R54/('3-Statement Model'!R53+'3-Statement Model'!R54+'3-Statement Model'!R51))*'3-Statement Model'!R14*(1-0.21)+('3-Statement Model'!R51/('3-Statement Model'!R53+'3-Statement Model'!R54+'3-Statement Model'!R51))*'3-Statement Model'!R14*(1-0.21)</f>
        <v>4.650073469646103E-2</v>
      </c>
      <c r="L18" s="13">
        <f>('3-Statement Model'!S53/('3-Statement Model'!S53+'3-Statement Model'!S54+'3-Statement Model'!S51))*'DDM Model'!$D$9+('3-Statement Model'!S54/('3-Statement Model'!S53+'3-Statement Model'!S54+'3-Statement Model'!S51))*'3-Statement Model'!S14*(1-0.21)+('3-Statement Model'!S51/('3-Statement Model'!S53+'3-Statement Model'!S54+'3-Statement Model'!S51))*'3-Statement Model'!S14*(1-0.21)</f>
        <v>4.6333861799509365E-2</v>
      </c>
    </row>
    <row r="19" spans="2:12" ht="15.75" customHeight="1" x14ac:dyDescent="0.2">
      <c r="B19" s="5" t="s">
        <v>24</v>
      </c>
      <c r="C19" s="11">
        <f>'3-Statement Model'!J30/'SOTP &amp; Multiples'!$C$17</f>
        <v>3.5296957991308546</v>
      </c>
      <c r="D19" s="11">
        <f>'3-Statement Model'!K30/'SOTP &amp; Multiples'!$C$17</f>
        <v>3.3539352969579914</v>
      </c>
      <c r="E19" s="11">
        <f>'3-Statement Model'!L30/'SOTP &amp; Multiples'!$C$17</f>
        <v>3.3003380009657168</v>
      </c>
      <c r="F19" s="11">
        <f>'3-Statement Model'!M30/'SOTP &amp; Multiples'!$C$17</f>
        <v>3.7240652071463067</v>
      </c>
      <c r="G19" s="11">
        <f>'3-Statement Model'!N30/'SOTP &amp; Multiples'!$C$17</f>
        <v>3.6469518592992367</v>
      </c>
      <c r="H19" s="11">
        <f>'3-Statement Model'!O30/'SOTP &amp; Multiples'!$C$17</f>
        <v>3.6839293412483793</v>
      </c>
      <c r="I19" s="11">
        <f>'3-Statement Model'!P30/'SOTP &amp; Multiples'!$C$17</f>
        <v>3.7756030095268494</v>
      </c>
      <c r="J19" s="11">
        <f>'3-Statement Model'!Q30/'SOTP &amp; Multiples'!$C$17</f>
        <v>3.8178610833403677</v>
      </c>
      <c r="K19" s="11">
        <f>'3-Statement Model'!R30/'SOTP &amp; Multiples'!$C$17</f>
        <v>4.0561734901824931</v>
      </c>
      <c r="L19" s="11">
        <f>'3-Statement Model'!S30/'SOTP &amp; Multiples'!$C$17</f>
        <v>4.3383794610496702</v>
      </c>
    </row>
    <row r="20" spans="2:12" ht="15.75" customHeight="1" x14ac:dyDescent="0.2">
      <c r="B20" s="5" t="s">
        <v>25</v>
      </c>
      <c r="D20" s="13">
        <f t="shared" ref="D20:L20" si="0">D13/C13-1</f>
        <v>8.2018927444795109E-2</v>
      </c>
      <c r="E20" s="13">
        <f t="shared" si="0"/>
        <v>8.1632653061224358E-2</v>
      </c>
      <c r="F20" s="13">
        <f t="shared" si="0"/>
        <v>7.8171488961281455E-2</v>
      </c>
      <c r="G20" s="13">
        <f t="shared" si="0"/>
        <v>7.8703175730057362E-2</v>
      </c>
      <c r="H20" s="13">
        <f t="shared" si="0"/>
        <v>7.9262966581617134E-2</v>
      </c>
      <c r="I20" s="13">
        <f t="shared" si="0"/>
        <v>7.8970610356870585E-2</v>
      </c>
      <c r="J20" s="13">
        <f t="shared" si="0"/>
        <v>7.8853512425650862E-2</v>
      </c>
      <c r="K20" s="13">
        <f t="shared" si="0"/>
        <v>7.9389030702163854E-2</v>
      </c>
      <c r="L20" s="13">
        <f t="shared" si="0"/>
        <v>7.8612200146833011E-2</v>
      </c>
    </row>
    <row r="21" spans="2:12" x14ac:dyDescent="0.2">
      <c r="B21" s="5" t="s">
        <v>26</v>
      </c>
      <c r="C21" s="11"/>
      <c r="D21" s="13">
        <f t="shared" ref="D21:L21" si="1">D14/C14-1</f>
        <v>0.10160427807486627</v>
      </c>
      <c r="E21" s="13">
        <f t="shared" si="1"/>
        <v>0.10194174757281549</v>
      </c>
      <c r="F21" s="13">
        <f t="shared" si="1"/>
        <v>0.10010000000000008</v>
      </c>
      <c r="G21" s="13">
        <f t="shared" si="1"/>
        <v>6.0000000000000053E-2</v>
      </c>
      <c r="H21" s="13">
        <f t="shared" si="1"/>
        <v>6.0000000000000053E-2</v>
      </c>
      <c r="I21" s="13">
        <f t="shared" si="1"/>
        <v>5.5714285714285605E-2</v>
      </c>
      <c r="J21" s="13">
        <f t="shared" si="1"/>
        <v>5.1428571428571379E-2</v>
      </c>
      <c r="K21" s="13">
        <f t="shared" si="1"/>
        <v>4.7142857142857153E-2</v>
      </c>
      <c r="L21" s="13">
        <f t="shared" si="1"/>
        <v>4.2857142857142927E-2</v>
      </c>
    </row>
    <row r="22" spans="2:12" x14ac:dyDescent="0.2">
      <c r="B22" s="14"/>
      <c r="D22" s="15"/>
      <c r="E22" s="15"/>
      <c r="F22" s="15"/>
      <c r="G22" s="15"/>
      <c r="H22" s="15"/>
      <c r="I22" s="15"/>
      <c r="J22" s="15"/>
      <c r="K22" s="15"/>
      <c r="L22" s="15"/>
    </row>
    <row r="23" spans="2:12" x14ac:dyDescent="0.2">
      <c r="B23" s="14"/>
      <c r="D23" s="15"/>
      <c r="E23" s="15"/>
      <c r="F23" s="15"/>
      <c r="G23" s="15"/>
      <c r="H23" s="15"/>
      <c r="I23" s="15"/>
      <c r="J23" s="15"/>
      <c r="K23" s="15"/>
      <c r="L23" s="15"/>
    </row>
    <row r="95" spans="2:2" x14ac:dyDescent="0.2">
      <c r="B95" s="206"/>
    </row>
    <row r="97" spans="2:12" x14ac:dyDescent="0.2">
      <c r="B97" s="14"/>
      <c r="D97" s="15"/>
      <c r="E97" s="15"/>
      <c r="F97" s="15"/>
      <c r="G97" s="15"/>
      <c r="H97" s="15"/>
      <c r="I97" s="15"/>
      <c r="J97" s="15"/>
      <c r="K97" s="15"/>
      <c r="L97" s="15"/>
    </row>
    <row r="98" spans="2:12" x14ac:dyDescent="0.2">
      <c r="B98" s="14"/>
      <c r="D98" s="15"/>
      <c r="E98" s="15"/>
      <c r="F98" s="15"/>
      <c r="G98" s="15"/>
      <c r="H98" s="15"/>
      <c r="I98" s="15"/>
      <c r="J98" s="15"/>
      <c r="K98" s="15"/>
      <c r="L98" s="15"/>
    </row>
    <row r="100" spans="2:12" x14ac:dyDescent="0.2">
      <c r="B100" s="206"/>
    </row>
    <row r="101" spans="2:12" x14ac:dyDescent="0.2">
      <c r="B101" s="14"/>
      <c r="C101" s="16"/>
    </row>
    <row r="102" spans="2:12" x14ac:dyDescent="0.2">
      <c r="B102" s="14"/>
      <c r="C102" s="16"/>
    </row>
    <row r="103" spans="2:12" x14ac:dyDescent="0.2">
      <c r="B103" s="14"/>
      <c r="C103" s="16"/>
    </row>
  </sheetData>
  <pageMargins left="0.75" right="0.75" top="1" bottom="1" header="0.511811023622047" footer="0.511811023622047"/>
  <pageSetup paperSize="9"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81E5D"/>
  </sheetPr>
  <dimension ref="B1:AN110"/>
  <sheetViews>
    <sheetView showGridLines="0" zoomScale="110" zoomScaleNormal="110" workbookViewId="0">
      <pane xSplit="2" ySplit="4" topLeftCell="C5" activePane="bottomRight" state="frozen"/>
      <selection pane="topRight" activeCell="C1" sqref="C1"/>
      <selection pane="bottomLeft" activeCell="A60" sqref="A60"/>
      <selection pane="bottomRight" activeCell="B3" sqref="B3"/>
    </sheetView>
  </sheetViews>
  <sheetFormatPr baseColWidth="10" defaultColWidth="8.5703125" defaultRowHeight="16" x14ac:dyDescent="0.2"/>
  <cols>
    <col min="1" max="1" width="1.7109375" customWidth="1"/>
    <col min="2" max="2" width="41" customWidth="1"/>
    <col min="3" max="22" width="10.42578125" customWidth="1"/>
  </cols>
  <sheetData>
    <row r="1" spans="2:40" ht="9.75" customHeight="1" x14ac:dyDescent="0.2"/>
    <row r="2" spans="2:40" ht="18" customHeight="1" x14ac:dyDescent="0.2">
      <c r="B2" s="1" t="s">
        <v>27</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row>
    <row r="3" spans="2:40" ht="15.75" customHeight="1" x14ac:dyDescent="0.2">
      <c r="B3" s="209" t="s">
        <v>445</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row>
    <row r="4" spans="2:40" ht="15.75" customHeight="1" x14ac:dyDescent="0.2">
      <c r="B4" s="18" t="s">
        <v>28</v>
      </c>
      <c r="C4" s="19" t="s">
        <v>29</v>
      </c>
      <c r="D4" s="19" t="s">
        <v>30</v>
      </c>
      <c r="E4" s="19" t="s">
        <v>31</v>
      </c>
      <c r="F4" s="19" t="s">
        <v>32</v>
      </c>
      <c r="G4" s="19" t="s">
        <v>33</v>
      </c>
      <c r="H4" s="19" t="s">
        <v>34</v>
      </c>
      <c r="I4" s="19" t="s">
        <v>35</v>
      </c>
      <c r="J4" s="19" t="s">
        <v>7</v>
      </c>
      <c r="K4" s="19" t="s">
        <v>8</v>
      </c>
      <c r="L4" s="20" t="s">
        <v>9</v>
      </c>
      <c r="M4" s="21" t="s">
        <v>10</v>
      </c>
      <c r="N4" s="21" t="s">
        <v>11</v>
      </c>
      <c r="O4" s="21" t="s">
        <v>12</v>
      </c>
      <c r="P4" s="21" t="s">
        <v>13</v>
      </c>
      <c r="Q4" s="21" t="s">
        <v>14</v>
      </c>
      <c r="R4" s="21" t="s">
        <v>15</v>
      </c>
      <c r="S4" s="21" t="s">
        <v>16</v>
      </c>
      <c r="T4" s="21" t="s">
        <v>36</v>
      </c>
      <c r="U4" s="21" t="s">
        <v>37</v>
      </c>
      <c r="V4" s="21" t="s">
        <v>38</v>
      </c>
      <c r="W4" s="17"/>
      <c r="X4" s="17"/>
      <c r="Y4" s="17"/>
      <c r="Z4" s="17"/>
      <c r="AA4" s="17"/>
      <c r="AB4" s="17"/>
      <c r="AC4" s="17"/>
      <c r="AD4" s="17"/>
      <c r="AE4" s="17"/>
      <c r="AF4" s="17"/>
      <c r="AG4" s="17"/>
      <c r="AH4" s="17"/>
      <c r="AI4" s="17"/>
      <c r="AJ4" s="17"/>
      <c r="AK4" s="17"/>
      <c r="AL4" s="17"/>
      <c r="AM4" s="17"/>
      <c r="AN4" s="17"/>
    </row>
    <row r="5" spans="2:40" ht="15.75" customHeight="1" x14ac:dyDescent="0.2">
      <c r="B5" s="17"/>
      <c r="C5" s="17"/>
      <c r="D5" s="17"/>
      <c r="E5" s="17"/>
      <c r="F5" s="17"/>
      <c r="G5" s="17"/>
      <c r="H5" s="17"/>
      <c r="I5" s="17"/>
      <c r="J5" s="17"/>
      <c r="K5" s="17"/>
      <c r="L5" s="22"/>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2:40" ht="15.75" customHeight="1" x14ac:dyDescent="0.2">
      <c r="B6" s="23" t="s">
        <v>39</v>
      </c>
      <c r="C6" s="17"/>
      <c r="D6" s="17"/>
      <c r="E6" s="17"/>
      <c r="F6" s="17"/>
      <c r="G6" s="17"/>
      <c r="H6" s="17"/>
      <c r="I6" s="17"/>
      <c r="J6" s="17"/>
      <c r="K6" s="17"/>
      <c r="L6" s="22"/>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row>
    <row r="7" spans="2:40" ht="15.75" customHeight="1" x14ac:dyDescent="0.2">
      <c r="B7" s="14" t="s">
        <v>40</v>
      </c>
      <c r="C7" s="24"/>
      <c r="D7" s="24">
        <f t="shared" ref="D7:L7" si="0">D18/C18-1</f>
        <v>6.4134341306233633E-2</v>
      </c>
      <c r="E7" s="24">
        <f t="shared" si="0"/>
        <v>-2.5971000989925996E-2</v>
      </c>
      <c r="F7" s="24">
        <f t="shared" si="0"/>
        <v>0.1480839361511328</v>
      </c>
      <c r="G7" s="24">
        <f t="shared" si="0"/>
        <v>-6.2851489273068162E-2</v>
      </c>
      <c r="H7" s="24">
        <f t="shared" si="0"/>
        <v>-5.1564149580485608E-2</v>
      </c>
      <c r="I7" s="24">
        <f t="shared" si="0"/>
        <v>0.2277227722772277</v>
      </c>
      <c r="J7" s="24">
        <f t="shared" si="0"/>
        <v>0.34157281924031313</v>
      </c>
      <c r="K7" s="24">
        <f t="shared" si="0"/>
        <v>-0.11954897915629226</v>
      </c>
      <c r="L7" s="25">
        <f t="shared" si="0"/>
        <v>0.10742132266795945</v>
      </c>
      <c r="M7" s="26">
        <v>0.1</v>
      </c>
      <c r="N7" s="26">
        <v>0.1</v>
      </c>
      <c r="O7" s="26">
        <v>9.8000000000000004E-2</v>
      </c>
      <c r="P7" s="26">
        <v>9.5000000000000001E-2</v>
      </c>
      <c r="Q7" s="26">
        <v>9.2999999999999999E-2</v>
      </c>
      <c r="R7" s="26">
        <v>9.1999999999999998E-2</v>
      </c>
      <c r="S7" s="26">
        <v>9.0999999999999998E-2</v>
      </c>
      <c r="T7" s="26">
        <v>0.09</v>
      </c>
      <c r="U7" s="26">
        <v>0.09</v>
      </c>
      <c r="V7" s="26">
        <v>0.09</v>
      </c>
      <c r="W7" s="17"/>
      <c r="X7" s="17"/>
      <c r="Y7" s="17"/>
      <c r="Z7" s="17"/>
      <c r="AA7" s="17"/>
      <c r="AB7" s="17"/>
      <c r="AC7" s="17"/>
      <c r="AD7" s="17"/>
      <c r="AE7" s="17"/>
      <c r="AF7" s="17"/>
      <c r="AG7" s="17"/>
      <c r="AH7" s="17"/>
      <c r="AI7" s="17"/>
      <c r="AJ7" s="17"/>
      <c r="AK7" s="17"/>
      <c r="AL7" s="17"/>
      <c r="AM7" s="17"/>
      <c r="AN7" s="17"/>
    </row>
    <row r="8" spans="2:40" ht="15.75" customHeight="1" x14ac:dyDescent="0.2">
      <c r="B8" s="14" t="s">
        <v>41</v>
      </c>
      <c r="C8" s="24">
        <f t="shared" ref="C8:L8" si="1">-C19/C18</f>
        <v>0.2473664642458793</v>
      </c>
      <c r="D8" s="24">
        <f t="shared" si="1"/>
        <v>0.23705817271297969</v>
      </c>
      <c r="E8" s="24">
        <f t="shared" si="1"/>
        <v>0.22311233335326119</v>
      </c>
      <c r="F8" s="24">
        <f t="shared" si="1"/>
        <v>0.22719225161424703</v>
      </c>
      <c r="G8" s="24">
        <f t="shared" si="1"/>
        <v>0.19664388509195976</v>
      </c>
      <c r="H8" s="24">
        <f t="shared" si="1"/>
        <v>0.26521764602495751</v>
      </c>
      <c r="I8" s="24">
        <f t="shared" si="1"/>
        <v>0.30487688490169879</v>
      </c>
      <c r="J8" s="24">
        <f t="shared" si="1"/>
        <v>0.19410258234331651</v>
      </c>
      <c r="K8" s="24">
        <f t="shared" si="1"/>
        <v>0.2031672928533915</v>
      </c>
      <c r="L8" s="25">
        <f t="shared" si="1"/>
        <v>0.18035896687582081</v>
      </c>
      <c r="M8" s="26">
        <v>0.18</v>
      </c>
      <c r="N8" s="26">
        <v>0.18</v>
      </c>
      <c r="O8" s="26">
        <v>0.18</v>
      </c>
      <c r="P8" s="26">
        <v>0.18</v>
      </c>
      <c r="Q8" s="26">
        <v>0.18</v>
      </c>
      <c r="R8" s="26">
        <v>0.18</v>
      </c>
      <c r="S8" s="26">
        <v>0.18</v>
      </c>
      <c r="T8" s="26">
        <v>0.18</v>
      </c>
      <c r="U8" s="26">
        <v>0.18</v>
      </c>
      <c r="V8" s="26">
        <v>0.18</v>
      </c>
      <c r="W8" s="17"/>
      <c r="X8" s="17"/>
      <c r="Y8" s="17"/>
      <c r="Z8" s="17"/>
      <c r="AA8" s="17"/>
      <c r="AB8" s="17"/>
      <c r="AC8" s="17"/>
      <c r="AD8" s="17"/>
      <c r="AE8" s="17"/>
      <c r="AF8" s="17"/>
      <c r="AG8" s="17"/>
      <c r="AH8" s="17"/>
      <c r="AI8" s="17"/>
      <c r="AJ8" s="17"/>
      <c r="AK8" s="17"/>
      <c r="AL8" s="17"/>
      <c r="AM8" s="17"/>
      <c r="AN8" s="17"/>
    </row>
    <row r="9" spans="2:40" ht="15.75" customHeight="1" x14ac:dyDescent="0.2">
      <c r="B9" s="14" t="s">
        <v>42</v>
      </c>
      <c r="C9" s="24">
        <f t="shared" ref="C9:L9" si="2">-C21/C18</f>
        <v>0.28299665386045358</v>
      </c>
      <c r="D9" s="24">
        <f t="shared" si="2"/>
        <v>0.32446281954230477</v>
      </c>
      <c r="E9" s="24">
        <f t="shared" si="2"/>
        <v>0.28720033478806722</v>
      </c>
      <c r="F9" s="24">
        <f t="shared" si="2"/>
        <v>0.27452614038741929</v>
      </c>
      <c r="G9" s="24">
        <f t="shared" si="2"/>
        <v>0.29393787853531145</v>
      </c>
      <c r="H9" s="24">
        <f t="shared" si="2"/>
        <v>0.33423164801687272</v>
      </c>
      <c r="I9" s="24">
        <f t="shared" si="2"/>
        <v>0.28550295857988167</v>
      </c>
      <c r="J9" s="24">
        <f t="shared" si="2"/>
        <v>0.23265988475492638</v>
      </c>
      <c r="K9" s="24">
        <f t="shared" si="2"/>
        <v>0.27402739061931886</v>
      </c>
      <c r="L9" s="25">
        <f t="shared" si="2"/>
        <v>0.27754268203706406</v>
      </c>
      <c r="M9" s="26">
        <v>0.27700000000000002</v>
      </c>
      <c r="N9" s="26">
        <v>0.27700000000000002</v>
      </c>
      <c r="O9" s="26">
        <v>0.27700000000000002</v>
      </c>
      <c r="P9" s="26">
        <v>0.27700000000000002</v>
      </c>
      <c r="Q9" s="26">
        <v>0.27700000000000002</v>
      </c>
      <c r="R9" s="26">
        <v>0.27700000000000002</v>
      </c>
      <c r="S9" s="26">
        <v>0.27700000000000002</v>
      </c>
      <c r="T9" s="26">
        <v>0.27700000000000002</v>
      </c>
      <c r="U9" s="26">
        <v>0.27700000000000002</v>
      </c>
      <c r="V9" s="26">
        <v>0.27700000000000002</v>
      </c>
      <c r="W9" s="17"/>
      <c r="X9" s="17"/>
      <c r="Y9" s="17"/>
      <c r="Z9" s="17"/>
      <c r="AA9" s="17"/>
      <c r="AB9" s="17"/>
      <c r="AC9" s="17"/>
      <c r="AD9" s="17"/>
      <c r="AE9" s="17"/>
      <c r="AF9" s="17"/>
      <c r="AG9" s="17"/>
      <c r="AH9" s="17"/>
      <c r="AI9" s="17"/>
      <c r="AJ9" s="17"/>
      <c r="AK9" s="17"/>
      <c r="AL9" s="17"/>
      <c r="AM9" s="17"/>
      <c r="AN9" s="17"/>
    </row>
    <row r="10" spans="2:40" ht="15.75" customHeight="1" x14ac:dyDescent="0.2">
      <c r="B10" s="14" t="s">
        <v>43</v>
      </c>
      <c r="C10" s="24">
        <f>('16''-25'' 10Ks'!C29-'16''-25'' 10Ks'!C17-'16''-25'' 10Ks'!C21)/'16''-25'' 10Ks'!C8</f>
        <v>6.3018961457429676E-2</v>
      </c>
      <c r="D10" s="24">
        <f>('16''-25'' 10Ks'!D29-'16''-25'' 10Ks'!D17-'16''-25'' 10Ks'!D21)/'16''-25'' 10Ks'!D8</f>
        <v>6.102602923193385E-2</v>
      </c>
      <c r="E10" s="24">
        <f>('16''-25'' 10Ks'!E29-'16''-25'' 10Ks'!E17-'16''-25'' 10Ks'!E21)/'16''-25'' 10Ks'!E8</f>
        <v>0.27321097626591739</v>
      </c>
      <c r="F10" s="24">
        <f>('16''-25'' 10Ks'!F29-'16''-25'' 10Ks'!F17-'16''-25'' 10Ks'!F21)/'16''-25'' 10Ks'!F8</f>
        <v>3.8117058946052905E-2</v>
      </c>
      <c r="G10" s="24">
        <f>('16''-25'' 10Ks'!G29-'16''-25'' 10Ks'!G17-'16''-25'' 10Ks'!G21)/'16''-25'' 10Ks'!G8</f>
        <v>-4.1840306717786296E-2</v>
      </c>
      <c r="H10" s="24">
        <f>('16''-25'' 10Ks'!H29-'16''-25'' 10Ks'!H17-'16''-25'' 10Ks'!H21)/'16''-25'' 10Ks'!H8</f>
        <v>8.9753354033628219E-2</v>
      </c>
      <c r="I10" s="24">
        <f>('16''-25'' 10Ks'!I29-'16''-25'' 10Ks'!I17-'16''-25'' 10Ks'!I21)/'16''-25'' 10Ks'!I8</f>
        <v>1.603359419736591E-2</v>
      </c>
      <c r="J10" s="24">
        <f>('16''-25'' 10Ks'!J29-'16''-25'' 10Ks'!J17-'16''-25'' 10Ks'!J21)/'16''-25'' 10Ks'!J8</f>
        <v>1.3338550188518176E-2</v>
      </c>
      <c r="K10" s="24">
        <f>('16''-25'' 10Ks'!K29-'16''-25'' 10Ks'!K17-'16''-25'' 10Ks'!K21)/'16''-25'' 10Ks'!K8</f>
        <v>3.2036520825758495E-2</v>
      </c>
      <c r="L10" s="25">
        <f>('16''-25'' 10Ks'!L29-'16''-25'' 10Ks'!L17-'16''-25'' 10Ks'!L21)/'16''-25'' 10Ks'!L8</f>
        <v>2.9986867065518751E-2</v>
      </c>
      <c r="M10" s="26">
        <v>0.03</v>
      </c>
      <c r="N10" s="26">
        <v>0.03</v>
      </c>
      <c r="O10" s="26">
        <v>0.03</v>
      </c>
      <c r="P10" s="26">
        <v>0.03</v>
      </c>
      <c r="Q10" s="26">
        <v>0.03</v>
      </c>
      <c r="R10" s="26">
        <v>0.03</v>
      </c>
      <c r="S10" s="26">
        <v>0.03</v>
      </c>
      <c r="T10" s="26">
        <v>0.03</v>
      </c>
      <c r="U10" s="26">
        <v>0.03</v>
      </c>
      <c r="V10" s="26">
        <v>0.03</v>
      </c>
      <c r="W10" s="17"/>
      <c r="X10" s="17"/>
      <c r="Y10" s="17"/>
      <c r="Z10" s="17"/>
      <c r="AA10" s="17"/>
      <c r="AB10" s="17"/>
      <c r="AC10" s="17"/>
      <c r="AD10" s="17"/>
      <c r="AE10" s="17"/>
      <c r="AF10" s="17"/>
      <c r="AG10" s="17"/>
      <c r="AH10" s="17"/>
      <c r="AI10" s="17"/>
      <c r="AJ10" s="17"/>
      <c r="AK10" s="17"/>
      <c r="AL10" s="17"/>
      <c r="AM10" s="17"/>
      <c r="AN10" s="17"/>
    </row>
    <row r="11" spans="2:40" ht="15.75" customHeight="1" x14ac:dyDescent="0.2">
      <c r="B11" s="14" t="s">
        <v>44</v>
      </c>
      <c r="C11" s="24"/>
      <c r="D11" s="24">
        <f t="shared" ref="D11:L11" si="3">-D23/C46</f>
        <v>3.5225370636059301E-2</v>
      </c>
      <c r="E11" s="24">
        <f t="shared" si="3"/>
        <v>5.4102283888281755E-2</v>
      </c>
      <c r="F11" s="24">
        <f t="shared" si="3"/>
        <v>5.9942559786163162E-2</v>
      </c>
      <c r="G11" s="24">
        <f t="shared" si="3"/>
        <v>4.9408608706255332E-2</v>
      </c>
      <c r="H11" s="24">
        <f t="shared" si="3"/>
        <v>4.2743701186235744E-2</v>
      </c>
      <c r="I11" s="24">
        <f t="shared" si="3"/>
        <v>4.5325522406087691E-2</v>
      </c>
      <c r="J11" s="24">
        <f t="shared" si="3"/>
        <v>5.2935826902817423E-2</v>
      </c>
      <c r="K11" s="24">
        <f t="shared" si="3"/>
        <v>4.3426408853835391E-2</v>
      </c>
      <c r="L11" s="25">
        <f t="shared" si="3"/>
        <v>4.7388586408550114E-2</v>
      </c>
      <c r="M11" s="26">
        <v>4.2000000000000003E-2</v>
      </c>
      <c r="N11" s="26">
        <v>4.2000000000000003E-2</v>
      </c>
      <c r="O11" s="26">
        <v>4.2000000000000003E-2</v>
      </c>
      <c r="P11" s="26">
        <v>4.2000000000000003E-2</v>
      </c>
      <c r="Q11" s="26">
        <v>4.2000000000000003E-2</v>
      </c>
      <c r="R11" s="26">
        <v>4.2000000000000003E-2</v>
      </c>
      <c r="S11" s="26">
        <v>4.2000000000000003E-2</v>
      </c>
      <c r="T11" s="26">
        <v>4.2000000000000003E-2</v>
      </c>
      <c r="U11" s="26">
        <v>4.2000000000000003E-2</v>
      </c>
      <c r="V11" s="26">
        <v>4.2000000000000003E-2</v>
      </c>
      <c r="W11" s="17"/>
      <c r="X11" s="17"/>
      <c r="Y11" s="17"/>
      <c r="Z11" s="17"/>
      <c r="AA11" s="17"/>
      <c r="AB11" s="17"/>
      <c r="AC11" s="17"/>
      <c r="AD11" s="17"/>
      <c r="AE11" s="17"/>
      <c r="AF11" s="17"/>
      <c r="AG11" s="17"/>
      <c r="AH11" s="17"/>
      <c r="AI11" s="17"/>
      <c r="AJ11" s="17"/>
      <c r="AK11" s="17"/>
      <c r="AL11" s="17"/>
      <c r="AM11" s="17"/>
      <c r="AN11" s="17"/>
    </row>
    <row r="12" spans="2:40" ht="15.75" customHeight="1" x14ac:dyDescent="0.2">
      <c r="B12" s="14" t="s">
        <v>45</v>
      </c>
      <c r="C12" s="24">
        <f t="shared" ref="C12:L12" si="4">-C27/C26</f>
        <v>0.31498401096391049</v>
      </c>
      <c r="D12" s="24">
        <f t="shared" si="4"/>
        <v>-0.14153978125670169</v>
      </c>
      <c r="E12" s="24">
        <f t="shared" si="4"/>
        <v>0.21436343852013057</v>
      </c>
      <c r="F12" s="24">
        <f t="shared" si="4"/>
        <v>0.11678832116788321</v>
      </c>
      <c r="G12" s="24">
        <f t="shared" si="4"/>
        <v>1.8234562784915042E-2</v>
      </c>
      <c r="H12" s="24">
        <f t="shared" si="4"/>
        <v>0.10960629921259843</v>
      </c>
      <c r="I12" s="24">
        <f t="shared" si="4"/>
        <v>0.15292275574112735</v>
      </c>
      <c r="J12" s="24">
        <f t="shared" si="4"/>
        <v>0.13803512623490669</v>
      </c>
      <c r="K12" s="24">
        <f t="shared" si="4"/>
        <v>5.615371873447076E-2</v>
      </c>
      <c r="L12" s="25">
        <f t="shared" si="4"/>
        <v>-0.17704194260485651</v>
      </c>
      <c r="M12" s="26">
        <v>0.06</v>
      </c>
      <c r="N12" s="26">
        <v>7.0000000000000007E-2</v>
      </c>
      <c r="O12" s="26">
        <v>0.08</v>
      </c>
      <c r="P12" s="26">
        <v>0.09</v>
      </c>
      <c r="Q12" s="26">
        <v>0.1</v>
      </c>
      <c r="R12" s="26">
        <v>0.1</v>
      </c>
      <c r="S12" s="26">
        <v>0.1</v>
      </c>
      <c r="T12" s="26">
        <v>0.1</v>
      </c>
      <c r="U12" s="26">
        <v>0.1</v>
      </c>
      <c r="V12" s="26">
        <v>0.1</v>
      </c>
      <c r="W12" s="17"/>
      <c r="X12" s="17"/>
      <c r="Y12" s="17"/>
      <c r="Z12" s="17"/>
      <c r="AA12" s="17"/>
      <c r="AB12" s="17"/>
      <c r="AC12" s="17"/>
      <c r="AD12" s="17"/>
      <c r="AE12" s="17"/>
      <c r="AF12" s="17"/>
      <c r="AG12" s="17"/>
      <c r="AH12" s="17"/>
      <c r="AI12" s="17"/>
      <c r="AJ12" s="17"/>
      <c r="AK12" s="17"/>
      <c r="AL12" s="17"/>
      <c r="AM12" s="17"/>
      <c r="AN12" s="17"/>
    </row>
    <row r="13" spans="2:40" ht="15.75" customHeight="1" x14ac:dyDescent="0.2">
      <c r="B13" s="14" t="s">
        <v>46</v>
      </c>
      <c r="C13" s="24">
        <f t="shared" ref="C13:L13" si="5">-C37/C18</f>
        <v>0.59710001239310939</v>
      </c>
      <c r="D13" s="24">
        <f t="shared" si="5"/>
        <v>0.62540033773947479</v>
      </c>
      <c r="E13" s="24">
        <f t="shared" si="5"/>
        <v>0.77742571889759071</v>
      </c>
      <c r="F13" s="24">
        <f t="shared" si="5"/>
        <v>0.9092897313059779</v>
      </c>
      <c r="G13" s="24">
        <f t="shared" si="5"/>
        <v>0.81180196699449914</v>
      </c>
      <c r="H13" s="24">
        <f t="shared" si="5"/>
        <v>0.94188294569101882</v>
      </c>
      <c r="I13" s="24">
        <f t="shared" si="5"/>
        <v>0.92016606222561559</v>
      </c>
      <c r="J13" s="24">
        <f t="shared" si="5"/>
        <v>0.89325602902468526</v>
      </c>
      <c r="K13" s="24">
        <f t="shared" si="5"/>
        <v>0.99903042055508429</v>
      </c>
      <c r="L13" s="25">
        <f t="shared" si="5"/>
        <v>0.89763607179337512</v>
      </c>
      <c r="M13" s="26">
        <v>0.92859000000000003</v>
      </c>
      <c r="N13" s="26">
        <v>0.91954999999999998</v>
      </c>
      <c r="O13" s="26">
        <v>0.89076999999999995</v>
      </c>
      <c r="P13" s="26">
        <v>0.86355000000000004</v>
      </c>
      <c r="Q13" s="26">
        <v>0.82669000000000004</v>
      </c>
      <c r="R13" s="26">
        <v>0.79366999999999999</v>
      </c>
      <c r="S13" s="26">
        <v>0.74468000000000001</v>
      </c>
      <c r="T13" s="26">
        <v>0.67827999999999999</v>
      </c>
      <c r="U13" s="26">
        <v>0.61511000000000005</v>
      </c>
      <c r="V13" s="26">
        <v>0.56159999999999999</v>
      </c>
      <c r="W13" s="17"/>
      <c r="X13" s="17"/>
      <c r="Y13" s="17"/>
      <c r="Z13" s="17"/>
      <c r="AA13" s="17"/>
      <c r="AB13" s="17"/>
      <c r="AC13" s="17"/>
      <c r="AD13" s="17"/>
      <c r="AE13" s="17"/>
      <c r="AF13" s="17"/>
      <c r="AG13" s="17"/>
      <c r="AH13" s="17"/>
      <c r="AI13" s="17"/>
      <c r="AJ13" s="17"/>
      <c r="AK13" s="17"/>
      <c r="AL13" s="17"/>
      <c r="AM13" s="17"/>
      <c r="AN13" s="17"/>
    </row>
    <row r="14" spans="2:40" ht="15.75" customHeight="1" x14ac:dyDescent="0.2">
      <c r="B14" s="14" t="s">
        <v>47</v>
      </c>
      <c r="C14" s="24">
        <f>'16''-25'' 10Ks'!C201</f>
        <v>3.9453467047763799E-2</v>
      </c>
      <c r="D14" s="24">
        <f>'16''-25'' 10Ks'!D201</f>
        <v>3.6013057010551901E-2</v>
      </c>
      <c r="E14" s="24">
        <f>'16''-25'' 10Ks'!E201</f>
        <v>3.32E-2</v>
      </c>
      <c r="F14" s="24">
        <f>'16''-25'' 10Ks'!F201</f>
        <v>4.48E-2</v>
      </c>
      <c r="G14" s="24">
        <f>'16''-25'' 10Ks'!G201</f>
        <v>3.1600000000000003E-2</v>
      </c>
      <c r="H14" s="24">
        <f>'16''-25'' 10Ks'!H201</f>
        <v>2.57097883752113E-2</v>
      </c>
      <c r="I14" s="24">
        <f>'16''-25'' 10Ks'!I201</f>
        <v>2.3E-2</v>
      </c>
      <c r="J14" s="24">
        <f>'16''-25'' 10Ks'!J201</f>
        <v>3.5700000000000003E-2</v>
      </c>
      <c r="K14" s="24">
        <f>'16''-25'' 10Ks'!K201</f>
        <v>3.5200000000000002E-2</v>
      </c>
      <c r="L14" s="25">
        <f>'16''-25'' 10Ks'!L201</f>
        <v>3.9300000000000002E-2</v>
      </c>
      <c r="M14" s="26">
        <v>4.2999999999999997E-2</v>
      </c>
      <c r="N14" s="26">
        <v>4.4999999999999998E-2</v>
      </c>
      <c r="O14" s="26">
        <v>4.7E-2</v>
      </c>
      <c r="P14" s="26">
        <v>4.8000000000000001E-2</v>
      </c>
      <c r="Q14" s="26">
        <v>0.05</v>
      </c>
      <c r="R14" s="26">
        <v>0.05</v>
      </c>
      <c r="S14" s="26">
        <v>0.05</v>
      </c>
      <c r="T14" s="26">
        <v>0.05</v>
      </c>
      <c r="U14" s="26">
        <v>0.05</v>
      </c>
      <c r="V14" s="26">
        <v>0.05</v>
      </c>
      <c r="W14" s="17"/>
      <c r="X14" s="17"/>
      <c r="Y14" s="17"/>
      <c r="Z14" s="17"/>
      <c r="AA14" s="17"/>
      <c r="AB14" s="17"/>
      <c r="AC14" s="17"/>
      <c r="AD14" s="17"/>
      <c r="AE14" s="17"/>
      <c r="AF14" s="17"/>
      <c r="AG14" s="17"/>
      <c r="AH14" s="17"/>
      <c r="AI14" s="17"/>
      <c r="AJ14" s="17"/>
      <c r="AK14" s="17"/>
      <c r="AL14" s="17"/>
      <c r="AM14" s="17"/>
      <c r="AN14" s="17"/>
    </row>
    <row r="15" spans="2:40" ht="15.75" customHeight="1" x14ac:dyDescent="0.2">
      <c r="B15" s="14" t="s">
        <v>48</v>
      </c>
      <c r="C15" s="24"/>
      <c r="D15" s="24">
        <f t="shared" ref="D15:L15" si="6">D41/C41-1</f>
        <v>0.14454094292803976</v>
      </c>
      <c r="E15" s="24">
        <f t="shared" si="6"/>
        <v>0.13875338753387534</v>
      </c>
      <c r="F15" s="24">
        <f t="shared" si="6"/>
        <v>0.14612089481199431</v>
      </c>
      <c r="G15" s="24">
        <f t="shared" si="6"/>
        <v>0.13911960132890355</v>
      </c>
      <c r="H15" s="24">
        <f t="shared" si="6"/>
        <v>0.10244258111556692</v>
      </c>
      <c r="I15" s="24">
        <f t="shared" si="6"/>
        <v>0.10846560846560838</v>
      </c>
      <c r="J15" s="24">
        <f t="shared" si="6"/>
        <v>0.12828162291169454</v>
      </c>
      <c r="K15" s="24">
        <f t="shared" si="6"/>
        <v>0.11977789529349558</v>
      </c>
      <c r="L15" s="25">
        <f t="shared" si="6"/>
        <v>0.10507674144037771</v>
      </c>
      <c r="M15" s="26">
        <f>'DDM Model'!C20</f>
        <v>0.10009999999999999</v>
      </c>
      <c r="N15" s="26">
        <f>'DDM Model'!D20</f>
        <v>0.06</v>
      </c>
      <c r="O15" s="26">
        <f>'DDM Model'!E20</f>
        <v>0.06</v>
      </c>
      <c r="P15" s="26">
        <f>'DDM Model'!F20</f>
        <v>5.5714285714285702E-2</v>
      </c>
      <c r="Q15" s="26">
        <f>'DDM Model'!G20</f>
        <v>5.14285714285714E-2</v>
      </c>
      <c r="R15" s="26">
        <f>'DDM Model'!H20</f>
        <v>4.7142857142857097E-2</v>
      </c>
      <c r="S15" s="26">
        <f>'DDM Model'!I20</f>
        <v>4.2857142857142899E-2</v>
      </c>
      <c r="T15" s="26">
        <f>'DDM Model'!J20</f>
        <v>3.8571428571428597E-2</v>
      </c>
      <c r="U15" s="26">
        <f>'DDM Model'!K20</f>
        <v>3.4285714285714301E-2</v>
      </c>
      <c r="V15" s="26">
        <f>'DDM Model'!L20</f>
        <v>0.03</v>
      </c>
      <c r="W15" s="17"/>
      <c r="X15" s="17"/>
      <c r="Y15" s="17"/>
      <c r="Z15" s="17"/>
      <c r="AA15" s="17"/>
      <c r="AB15" s="17"/>
      <c r="AC15" s="17"/>
      <c r="AD15" s="17"/>
      <c r="AE15" s="17"/>
      <c r="AF15" s="17"/>
      <c r="AG15" s="17"/>
      <c r="AH15" s="17"/>
      <c r="AI15" s="17"/>
      <c r="AJ15" s="17"/>
      <c r="AK15" s="17"/>
      <c r="AL15" s="17"/>
      <c r="AM15" s="17"/>
      <c r="AN15" s="17"/>
    </row>
    <row r="16" spans="2:40" ht="15.75" customHeight="1" x14ac:dyDescent="0.2">
      <c r="B16" s="17"/>
      <c r="C16" s="17"/>
      <c r="D16" s="17"/>
      <c r="E16" s="17"/>
      <c r="F16" s="17"/>
      <c r="G16" s="17"/>
      <c r="H16" s="17"/>
      <c r="I16" s="17"/>
      <c r="J16" s="17"/>
      <c r="K16" s="17"/>
      <c r="L16" s="22"/>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row>
    <row r="17" spans="2:40" ht="15.75" customHeight="1" x14ac:dyDescent="0.2">
      <c r="B17" s="23" t="s">
        <v>49</v>
      </c>
      <c r="C17" s="17"/>
      <c r="D17" s="17"/>
      <c r="E17" s="17"/>
      <c r="F17" s="17"/>
      <c r="G17" s="17"/>
      <c r="H17" s="17"/>
      <c r="I17" s="17"/>
      <c r="J17" s="17"/>
      <c r="K17" s="17"/>
      <c r="L17" s="22"/>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row>
    <row r="18" spans="2:40" ht="15.75" customHeight="1" x14ac:dyDescent="0.2">
      <c r="B18" s="14" t="s">
        <v>50</v>
      </c>
      <c r="C18" s="27">
        <f>'16''-25'' 10Ks'!C8</f>
        <v>16138</v>
      </c>
      <c r="D18" s="27">
        <f>'16''-25'' 10Ks'!D8</f>
        <v>17173</v>
      </c>
      <c r="E18" s="27">
        <f>'16''-25'' 10Ks'!E8</f>
        <v>16727</v>
      </c>
      <c r="F18" s="27">
        <f>'16''-25'' 10Ks'!F8</f>
        <v>19204</v>
      </c>
      <c r="G18" s="27">
        <f>'16''-25'' 10Ks'!G8</f>
        <v>17997</v>
      </c>
      <c r="H18" s="27">
        <f>'16''-25'' 10Ks'!H8</f>
        <v>17069</v>
      </c>
      <c r="I18" s="27">
        <f>'16''-25'' 10Ks'!I8</f>
        <v>20956</v>
      </c>
      <c r="J18" s="27">
        <f>'16''-25'' 10Ks'!J8</f>
        <v>28114</v>
      </c>
      <c r="K18" s="27">
        <f>'16''-25'' 10Ks'!K8</f>
        <v>24753</v>
      </c>
      <c r="L18" s="28">
        <f>'16''-25'' 10Ks'!L8</f>
        <v>27412</v>
      </c>
      <c r="M18" s="27">
        <f t="shared" ref="M18:V18" si="7">L18*(1+M7)</f>
        <v>30153.200000000001</v>
      </c>
      <c r="N18" s="27">
        <f t="shared" si="7"/>
        <v>33168.520000000004</v>
      </c>
      <c r="O18" s="27">
        <f t="shared" si="7"/>
        <v>36419.034960000005</v>
      </c>
      <c r="P18" s="27">
        <f t="shared" si="7"/>
        <v>39878.843281200003</v>
      </c>
      <c r="Q18" s="27">
        <f t="shared" si="7"/>
        <v>43587.575706351599</v>
      </c>
      <c r="R18" s="27">
        <f t="shared" si="7"/>
        <v>47597.632671335952</v>
      </c>
      <c r="S18" s="27">
        <f t="shared" si="7"/>
        <v>51929.017244427523</v>
      </c>
      <c r="T18" s="27">
        <f t="shared" si="7"/>
        <v>56602.628796426005</v>
      </c>
      <c r="U18" s="27">
        <f t="shared" si="7"/>
        <v>61696.86538810435</v>
      </c>
      <c r="V18" s="27">
        <f t="shared" si="7"/>
        <v>67249.583273033742</v>
      </c>
      <c r="W18" s="17"/>
      <c r="X18" s="17"/>
      <c r="Y18" s="17"/>
      <c r="Z18" s="17"/>
      <c r="AA18" s="17"/>
      <c r="AB18" s="17"/>
      <c r="AC18" s="17"/>
      <c r="AD18" s="17"/>
      <c r="AE18" s="17"/>
      <c r="AF18" s="17"/>
      <c r="AG18" s="17"/>
      <c r="AH18" s="17"/>
      <c r="AI18" s="17"/>
      <c r="AJ18" s="17"/>
      <c r="AK18" s="17"/>
      <c r="AL18" s="17"/>
      <c r="AM18" s="17"/>
      <c r="AN18" s="17"/>
    </row>
    <row r="19" spans="2:40" ht="15.75" customHeight="1" x14ac:dyDescent="0.2">
      <c r="B19" s="14" t="s">
        <v>51</v>
      </c>
      <c r="C19" s="27">
        <f>-'16''-25'' 10Ks'!C11</f>
        <v>-3992</v>
      </c>
      <c r="D19" s="27">
        <f>-'16''-25'' 10Ks'!D11</f>
        <v>-4071</v>
      </c>
      <c r="E19" s="27">
        <f>-'16''-25'' 10Ks'!E11</f>
        <v>-3732</v>
      </c>
      <c r="F19" s="27">
        <f>-'16''-25'' 10Ks'!F11</f>
        <v>-4363</v>
      </c>
      <c r="G19" s="27">
        <f>-'16''-25'' 10Ks'!G11</f>
        <v>-3539</v>
      </c>
      <c r="H19" s="27">
        <f>-'16''-25'' 10Ks'!H11</f>
        <v>-4527</v>
      </c>
      <c r="I19" s="27">
        <f>-'16''-25'' 10Ks'!I11</f>
        <v>-6389</v>
      </c>
      <c r="J19" s="27">
        <f>-'16''-25'' 10Ks'!J11</f>
        <v>-5457</v>
      </c>
      <c r="K19" s="27">
        <f>-'16''-25'' 10Ks'!K11</f>
        <v>-5029</v>
      </c>
      <c r="L19" s="28">
        <f>-'16''-25'' 10Ks'!L11</f>
        <v>-4944</v>
      </c>
      <c r="M19" s="27">
        <f t="shared" ref="M19:V19" si="8">-M8*M18</f>
        <v>-5427.576</v>
      </c>
      <c r="N19" s="27">
        <f t="shared" si="8"/>
        <v>-5970.3336000000008</v>
      </c>
      <c r="O19" s="27">
        <f t="shared" si="8"/>
        <v>-6555.4262928000007</v>
      </c>
      <c r="P19" s="27">
        <f t="shared" si="8"/>
        <v>-7178.1917906160006</v>
      </c>
      <c r="Q19" s="27">
        <f t="shared" si="8"/>
        <v>-7845.7636271432875</v>
      </c>
      <c r="R19" s="27">
        <f t="shared" si="8"/>
        <v>-8567.5738808404712</v>
      </c>
      <c r="S19" s="27">
        <f t="shared" si="8"/>
        <v>-9347.2231039969538</v>
      </c>
      <c r="T19" s="27">
        <f t="shared" si="8"/>
        <v>-10188.47318335668</v>
      </c>
      <c r="U19" s="27">
        <f t="shared" si="8"/>
        <v>-11105.435769858783</v>
      </c>
      <c r="V19" s="27">
        <f t="shared" si="8"/>
        <v>-12104.924989146073</v>
      </c>
      <c r="W19" s="17"/>
      <c r="X19" s="17"/>
      <c r="Y19" s="17"/>
      <c r="Z19" s="17"/>
      <c r="AA19" s="17"/>
      <c r="AB19" s="17"/>
      <c r="AC19" s="17"/>
      <c r="AD19" s="17"/>
      <c r="AE19" s="17"/>
      <c r="AF19" s="17"/>
      <c r="AG19" s="17"/>
      <c r="AH19" s="17"/>
      <c r="AI19" s="17"/>
      <c r="AJ19" s="17"/>
      <c r="AK19" s="17"/>
      <c r="AL19" s="17"/>
      <c r="AM19" s="17"/>
      <c r="AN19" s="17"/>
    </row>
    <row r="20" spans="2:40" ht="15.75" customHeight="1" x14ac:dyDescent="0.2">
      <c r="B20" s="29" t="s">
        <v>52</v>
      </c>
      <c r="C20" s="30">
        <f t="shared" ref="C20:V20" si="9">C18+C19</f>
        <v>12146</v>
      </c>
      <c r="D20" s="30">
        <f t="shared" si="9"/>
        <v>13102</v>
      </c>
      <c r="E20" s="30">
        <f t="shared" si="9"/>
        <v>12995</v>
      </c>
      <c r="F20" s="30">
        <f t="shared" si="9"/>
        <v>14841</v>
      </c>
      <c r="G20" s="30">
        <f t="shared" si="9"/>
        <v>14458</v>
      </c>
      <c r="H20" s="30">
        <f t="shared" si="9"/>
        <v>12542</v>
      </c>
      <c r="I20" s="30">
        <f t="shared" si="9"/>
        <v>14567</v>
      </c>
      <c r="J20" s="30">
        <f t="shared" si="9"/>
        <v>22657</v>
      </c>
      <c r="K20" s="30">
        <f t="shared" si="9"/>
        <v>19724</v>
      </c>
      <c r="L20" s="31">
        <f t="shared" si="9"/>
        <v>22468</v>
      </c>
      <c r="M20" s="30">
        <f t="shared" si="9"/>
        <v>24725.624</v>
      </c>
      <c r="N20" s="30">
        <f t="shared" si="9"/>
        <v>27198.186400000002</v>
      </c>
      <c r="O20" s="30">
        <f t="shared" si="9"/>
        <v>29863.608667200002</v>
      </c>
      <c r="P20" s="30">
        <f t="shared" si="9"/>
        <v>32700.651490584001</v>
      </c>
      <c r="Q20" s="30">
        <f t="shared" si="9"/>
        <v>35741.812079208314</v>
      </c>
      <c r="R20" s="30">
        <f t="shared" si="9"/>
        <v>39030.058790495481</v>
      </c>
      <c r="S20" s="30">
        <f t="shared" si="9"/>
        <v>42581.794140430567</v>
      </c>
      <c r="T20" s="30">
        <f t="shared" si="9"/>
        <v>46414.155613069321</v>
      </c>
      <c r="U20" s="30">
        <f t="shared" si="9"/>
        <v>50591.429618245566</v>
      </c>
      <c r="V20" s="30">
        <f t="shared" si="9"/>
        <v>55144.658283887671</v>
      </c>
      <c r="W20" s="17"/>
      <c r="X20" s="17"/>
      <c r="Y20" s="17"/>
      <c r="Z20" s="17"/>
      <c r="AA20" s="17"/>
      <c r="AB20" s="17"/>
      <c r="AC20" s="17"/>
      <c r="AD20" s="17"/>
      <c r="AE20" s="17"/>
      <c r="AF20" s="17"/>
      <c r="AG20" s="17"/>
      <c r="AH20" s="17"/>
      <c r="AI20" s="17"/>
      <c r="AJ20" s="17"/>
      <c r="AK20" s="17"/>
      <c r="AL20" s="17"/>
      <c r="AM20" s="17"/>
      <c r="AN20" s="17"/>
    </row>
    <row r="21" spans="2:40" ht="15.75" customHeight="1" x14ac:dyDescent="0.2">
      <c r="B21" s="32" t="s">
        <v>53</v>
      </c>
      <c r="C21" s="33">
        <f>-'16''-25'' 10Ks'!C12-'16''-25'' 10Ks'!C14+'16''-25'' 10Ks'!C16</f>
        <v>-4567</v>
      </c>
      <c r="D21" s="33">
        <f>-'16''-25'' 10Ks'!D12-'16''-25'' 10Ks'!D14+'16''-25'' 10Ks'!D16</f>
        <v>-5572</v>
      </c>
      <c r="E21" s="33">
        <f>-'16''-25'' 10Ks'!E12-'16''-25'' 10Ks'!E14+'16''-25'' 10Ks'!E16</f>
        <v>-4804</v>
      </c>
      <c r="F21" s="33">
        <f>-'16''-25'' 10Ks'!F12-'16''-25'' 10Ks'!F14+'16''-25'' 10Ks'!F16</f>
        <v>-5272</v>
      </c>
      <c r="G21" s="33">
        <f>-'16''-25'' 10Ks'!G12-'16''-25'' 10Ks'!G14+'16''-25'' 10Ks'!G16</f>
        <v>-5290</v>
      </c>
      <c r="H21" s="33">
        <f>-'16''-25'' 10Ks'!H12-'16''-25'' 10Ks'!H14+'16''-25'' 10Ks'!H16</f>
        <v>-5705</v>
      </c>
      <c r="I21" s="33">
        <f>-'16''-25'' 10Ks'!I12-'16''-25'' 10Ks'!I14+'16''-25'' 10Ks'!I16</f>
        <v>-5983</v>
      </c>
      <c r="J21" s="33">
        <f>-'16''-25'' 10Ks'!J12-'16''-25'' 10Ks'!J14+'16''-25'' 10Ks'!J16</f>
        <v>-6541</v>
      </c>
      <c r="K21" s="33">
        <f>-'16''-25'' 10Ks'!K12-'16''-25'' 10Ks'!K14+'16''-25'' 10Ks'!K16</f>
        <v>-6783</v>
      </c>
      <c r="L21" s="34">
        <f>-'16''-25'' 10Ks'!L12-'16''-25'' 10Ks'!L14+'16''-25'' 10Ks'!L16</f>
        <v>-7608</v>
      </c>
      <c r="M21" s="33">
        <f t="shared" ref="M21:V21" si="10">-M9*M18</f>
        <v>-8352.4364000000005</v>
      </c>
      <c r="N21" s="33">
        <f t="shared" si="10"/>
        <v>-9187.6800400000011</v>
      </c>
      <c r="O21" s="33">
        <f t="shared" si="10"/>
        <v>-10088.072683920002</v>
      </c>
      <c r="P21" s="33">
        <f t="shared" si="10"/>
        <v>-11046.439588892401</v>
      </c>
      <c r="Q21" s="33">
        <f t="shared" si="10"/>
        <v>-12073.758470659393</v>
      </c>
      <c r="R21" s="33">
        <f t="shared" si="10"/>
        <v>-13184.544249960059</v>
      </c>
      <c r="S21" s="33">
        <f t="shared" si="10"/>
        <v>-14384.337776706425</v>
      </c>
      <c r="T21" s="33">
        <f t="shared" si="10"/>
        <v>-15678.928176610005</v>
      </c>
      <c r="U21" s="33">
        <f t="shared" si="10"/>
        <v>-17090.031712504908</v>
      </c>
      <c r="V21" s="33">
        <f t="shared" si="10"/>
        <v>-18628.13456663035</v>
      </c>
      <c r="W21" s="17"/>
      <c r="X21" s="17"/>
      <c r="Y21" s="17"/>
      <c r="Z21" s="17"/>
      <c r="AA21" s="17"/>
      <c r="AB21" s="17"/>
      <c r="AC21" s="17"/>
      <c r="AD21" s="17"/>
      <c r="AE21" s="17"/>
      <c r="AF21" s="17"/>
      <c r="AG21" s="17"/>
      <c r="AH21" s="17"/>
      <c r="AI21" s="17"/>
      <c r="AJ21" s="17"/>
      <c r="AK21" s="17"/>
      <c r="AL21" s="17"/>
      <c r="AM21" s="17"/>
      <c r="AN21" s="17"/>
    </row>
    <row r="22" spans="2:40" ht="15.75" customHeight="1" x14ac:dyDescent="0.2">
      <c r="B22" s="35" t="s">
        <v>54</v>
      </c>
      <c r="C22" s="36">
        <f t="shared" ref="C22:V22" si="11">C20+C21</f>
        <v>7579</v>
      </c>
      <c r="D22" s="36">
        <f t="shared" si="11"/>
        <v>7530</v>
      </c>
      <c r="E22" s="36">
        <f t="shared" si="11"/>
        <v>8191</v>
      </c>
      <c r="F22" s="36">
        <f t="shared" si="11"/>
        <v>9569</v>
      </c>
      <c r="G22" s="36">
        <f t="shared" si="11"/>
        <v>9168</v>
      </c>
      <c r="H22" s="36">
        <f t="shared" si="11"/>
        <v>6837</v>
      </c>
      <c r="I22" s="36">
        <f t="shared" si="11"/>
        <v>8584</v>
      </c>
      <c r="J22" s="36">
        <f t="shared" si="11"/>
        <v>16116</v>
      </c>
      <c r="K22" s="36">
        <f t="shared" si="11"/>
        <v>12941</v>
      </c>
      <c r="L22" s="37">
        <f t="shared" si="11"/>
        <v>14860</v>
      </c>
      <c r="M22" s="36">
        <f t="shared" si="11"/>
        <v>16373.187599999999</v>
      </c>
      <c r="N22" s="36">
        <f t="shared" si="11"/>
        <v>18010.506359999999</v>
      </c>
      <c r="O22" s="36">
        <f t="shared" si="11"/>
        <v>19775.535983280002</v>
      </c>
      <c r="P22" s="36">
        <f t="shared" si="11"/>
        <v>21654.2119016916</v>
      </c>
      <c r="Q22" s="36">
        <f t="shared" si="11"/>
        <v>23668.053608548922</v>
      </c>
      <c r="R22" s="36">
        <f t="shared" si="11"/>
        <v>25845.51454053542</v>
      </c>
      <c r="S22" s="36">
        <f t="shared" si="11"/>
        <v>28197.456363724144</v>
      </c>
      <c r="T22" s="36">
        <f t="shared" si="11"/>
        <v>30735.227436459318</v>
      </c>
      <c r="U22" s="36">
        <f t="shared" si="11"/>
        <v>33501.397905740654</v>
      </c>
      <c r="V22" s="36">
        <f t="shared" si="11"/>
        <v>36516.523717257325</v>
      </c>
      <c r="W22" s="17"/>
      <c r="X22" s="17"/>
      <c r="Y22" s="17"/>
      <c r="Z22" s="17"/>
      <c r="AA22" s="17"/>
      <c r="AB22" s="17"/>
      <c r="AC22" s="17"/>
      <c r="AD22" s="17"/>
      <c r="AE22" s="17"/>
      <c r="AF22" s="17"/>
      <c r="AG22" s="17"/>
      <c r="AH22" s="17"/>
      <c r="AI22" s="17"/>
      <c r="AJ22" s="17"/>
      <c r="AK22" s="17"/>
      <c r="AL22" s="17"/>
      <c r="AM22" s="17"/>
      <c r="AN22" s="17"/>
    </row>
    <row r="23" spans="2:40" ht="15.75" customHeight="1" x14ac:dyDescent="0.2">
      <c r="B23" s="32" t="s">
        <v>55</v>
      </c>
      <c r="C23" s="33">
        <f>-'16''-25'' 10Ks'!C13</f>
        <v>-3120</v>
      </c>
      <c r="D23" s="33">
        <f>-'16''-25'' 10Ks'!D13</f>
        <v>-2357</v>
      </c>
      <c r="E23" s="33">
        <f>-'16''-25'' 10Ks'!E13</f>
        <v>-3911</v>
      </c>
      <c r="F23" s="33">
        <f>-'16''-25'' 10Ks'!F13</f>
        <v>-4216</v>
      </c>
      <c r="G23" s="33">
        <f>-'16''-25'' 10Ks'!G13</f>
        <v>-4052</v>
      </c>
      <c r="H23" s="33">
        <f>-'16''-25'' 10Ks'!H13</f>
        <v>-3924</v>
      </c>
      <c r="I23" s="33">
        <f>-'16''-25'' 10Ks'!I13</f>
        <v>-4503</v>
      </c>
      <c r="J23" s="33">
        <f>-'16''-25'' 10Ks'!J13</f>
        <v>-5879</v>
      </c>
      <c r="K23" s="33">
        <f>-'16''-25'' 10Ks'!K13</f>
        <v>-5462</v>
      </c>
      <c r="L23" s="34">
        <f>-'16''-25'' 10Ks'!L13</f>
        <v>-6580</v>
      </c>
      <c r="M23" s="33">
        <f t="shared" ref="M23:V23" si="12">-M11*L46</f>
        <v>-6560.2740000000003</v>
      </c>
      <c r="N23" s="33">
        <f t="shared" si="12"/>
        <v>-7460.7408114959999</v>
      </c>
      <c r="O23" s="33">
        <f t="shared" si="12"/>
        <v>-8428.3944251851663</v>
      </c>
      <c r="P23" s="33">
        <f t="shared" si="12"/>
        <v>-9436.9231777227978</v>
      </c>
      <c r="Q23" s="33">
        <f t="shared" si="12"/>
        <v>-10486.94215910861</v>
      </c>
      <c r="R23" s="33">
        <f t="shared" si="12"/>
        <v>-11559.89393277477</v>
      </c>
      <c r="S23" s="33">
        <f t="shared" si="12"/>
        <v>-12661.004538733117</v>
      </c>
      <c r="T23" s="33">
        <f t="shared" si="12"/>
        <v>-13753.403371692699</v>
      </c>
      <c r="U23" s="33">
        <f t="shared" si="12"/>
        <v>-14788.24253460328</v>
      </c>
      <c r="V23" s="33">
        <f t="shared" si="12"/>
        <v>-15761.051420642771</v>
      </c>
      <c r="W23" s="17"/>
      <c r="X23" s="17"/>
      <c r="Y23" s="17"/>
      <c r="Z23" s="17"/>
      <c r="AA23" s="17"/>
      <c r="AB23" s="17"/>
      <c r="AC23" s="17"/>
      <c r="AD23" s="17"/>
      <c r="AE23" s="17"/>
      <c r="AF23" s="17"/>
      <c r="AG23" s="17"/>
      <c r="AH23" s="17"/>
      <c r="AI23" s="17"/>
      <c r="AJ23" s="17"/>
      <c r="AK23" s="17"/>
      <c r="AL23" s="17"/>
      <c r="AM23" s="17"/>
      <c r="AN23" s="17"/>
    </row>
    <row r="24" spans="2:40" ht="15.75" customHeight="1" x14ac:dyDescent="0.2">
      <c r="B24" s="35" t="s">
        <v>56</v>
      </c>
      <c r="C24" s="36">
        <f t="shared" ref="C24:V24" si="13">C22+C23</f>
        <v>4459</v>
      </c>
      <c r="D24" s="36">
        <f t="shared" si="13"/>
        <v>5173</v>
      </c>
      <c r="E24" s="36">
        <f t="shared" si="13"/>
        <v>4280</v>
      </c>
      <c r="F24" s="36">
        <f t="shared" si="13"/>
        <v>5353</v>
      </c>
      <c r="G24" s="36">
        <f t="shared" si="13"/>
        <v>5116</v>
      </c>
      <c r="H24" s="36">
        <f t="shared" si="13"/>
        <v>2913</v>
      </c>
      <c r="I24" s="36">
        <f t="shared" si="13"/>
        <v>4081</v>
      </c>
      <c r="J24" s="36">
        <f t="shared" si="13"/>
        <v>10237</v>
      </c>
      <c r="K24" s="36">
        <f t="shared" si="13"/>
        <v>7479</v>
      </c>
      <c r="L24" s="37">
        <f t="shared" si="13"/>
        <v>8280</v>
      </c>
      <c r="M24" s="36">
        <f t="shared" si="13"/>
        <v>9812.9135999999999</v>
      </c>
      <c r="N24" s="36">
        <f t="shared" si="13"/>
        <v>10549.765548504</v>
      </c>
      <c r="O24" s="36">
        <f t="shared" si="13"/>
        <v>11347.141558094836</v>
      </c>
      <c r="P24" s="36">
        <f t="shared" si="13"/>
        <v>12217.288723968803</v>
      </c>
      <c r="Q24" s="36">
        <f t="shared" si="13"/>
        <v>13181.111449440312</v>
      </c>
      <c r="R24" s="36">
        <f t="shared" si="13"/>
        <v>14285.620607760649</v>
      </c>
      <c r="S24" s="36">
        <f t="shared" si="13"/>
        <v>15536.451824991027</v>
      </c>
      <c r="T24" s="36">
        <f t="shared" si="13"/>
        <v>16981.824064766617</v>
      </c>
      <c r="U24" s="36">
        <f t="shared" si="13"/>
        <v>18713.155371137374</v>
      </c>
      <c r="V24" s="36">
        <f t="shared" si="13"/>
        <v>20755.472296614556</v>
      </c>
      <c r="W24" s="17"/>
      <c r="X24" s="17"/>
      <c r="Y24" s="17"/>
      <c r="Z24" s="17"/>
      <c r="AA24" s="17"/>
      <c r="AB24" s="17"/>
      <c r="AC24" s="17"/>
      <c r="AD24" s="17"/>
      <c r="AE24" s="17"/>
      <c r="AF24" s="17"/>
      <c r="AG24" s="17"/>
      <c r="AH24" s="17"/>
      <c r="AI24" s="17"/>
      <c r="AJ24" s="17"/>
      <c r="AK24" s="17"/>
      <c r="AL24" s="17"/>
      <c r="AM24" s="17"/>
      <c r="AN24" s="17"/>
    </row>
    <row r="25" spans="2:40" ht="15.75" customHeight="1" x14ac:dyDescent="0.2">
      <c r="B25" s="32" t="s">
        <v>57</v>
      </c>
      <c r="C25" s="33">
        <f>'16''-25'' 10Ks'!C29-C24</f>
        <v>-81</v>
      </c>
      <c r="D25" s="33">
        <f>'16''-25'' 10Ks'!D29-D24</f>
        <v>-510</v>
      </c>
      <c r="E25" s="33">
        <f>'16''-25'' 10Ks'!E29-E24</f>
        <v>3072</v>
      </c>
      <c r="F25" s="33">
        <f>'16''-25'' 10Ks'!F29-F24</f>
        <v>-1517</v>
      </c>
      <c r="G25" s="33">
        <f>'16''-25'' 10Ks'!G29-G24</f>
        <v>-2703</v>
      </c>
      <c r="H25" s="33">
        <f>'16''-25'' 10Ks'!H29-H24</f>
        <v>262</v>
      </c>
      <c r="I25" s="33">
        <f>'16''-25'' 10Ks'!I29-I24</f>
        <v>-249</v>
      </c>
      <c r="J25" s="33">
        <f>'16''-25'' 10Ks'!J29-J24</f>
        <v>-2949</v>
      </c>
      <c r="K25" s="33">
        <f>'16''-25'' 10Ks'!K29-K24</f>
        <v>-1442</v>
      </c>
      <c r="L25" s="34">
        <f>'16''-25'' 10Ks'!L29-L24</f>
        <v>-3750</v>
      </c>
      <c r="M25" s="33">
        <f t="shared" ref="M25:V25" si="14">-M14*L51+M10*M18</f>
        <v>-3207.0209999999993</v>
      </c>
      <c r="N25" s="33">
        <f t="shared" si="14"/>
        <v>-4044.5641499999997</v>
      </c>
      <c r="O25" s="33">
        <f t="shared" si="14"/>
        <v>-4687.9919214367992</v>
      </c>
      <c r="P25" s="33">
        <f t="shared" si="14"/>
        <v>-5276.3284682214344</v>
      </c>
      <c r="Q25" s="33">
        <f t="shared" si="14"/>
        <v>-6065.7888898870879</v>
      </c>
      <c r="R25" s="33">
        <f t="shared" si="14"/>
        <v>-6621.9147209073781</v>
      </c>
      <c r="S25" s="33">
        <f t="shared" si="14"/>
        <v>-7223.3586429533971</v>
      </c>
      <c r="T25" s="33">
        <f t="shared" si="14"/>
        <v>-7873.1419904746899</v>
      </c>
      <c r="U25" s="33">
        <f t="shared" si="14"/>
        <v>-8572.7246118654111</v>
      </c>
      <c r="V25" s="33">
        <f t="shared" si="14"/>
        <v>-9335.2696691812962</v>
      </c>
      <c r="W25" s="17"/>
      <c r="X25" s="17"/>
      <c r="Y25" s="17"/>
      <c r="Z25" s="17"/>
      <c r="AA25" s="17"/>
      <c r="AB25" s="17"/>
      <c r="AC25" s="17"/>
      <c r="AD25" s="17"/>
      <c r="AE25" s="17"/>
      <c r="AF25" s="17"/>
      <c r="AG25" s="17"/>
      <c r="AH25" s="17"/>
      <c r="AI25" s="17"/>
      <c r="AJ25" s="17"/>
      <c r="AK25" s="17"/>
      <c r="AL25" s="17"/>
      <c r="AM25" s="17"/>
      <c r="AN25" s="17"/>
    </row>
    <row r="26" spans="2:40" ht="15.75" customHeight="1" x14ac:dyDescent="0.2">
      <c r="B26" s="35" t="s">
        <v>58</v>
      </c>
      <c r="C26" s="36">
        <f t="shared" ref="C26:V26" si="15">C24+C25</f>
        <v>4378</v>
      </c>
      <c r="D26" s="36">
        <f t="shared" si="15"/>
        <v>4663</v>
      </c>
      <c r="E26" s="36">
        <f t="shared" si="15"/>
        <v>7352</v>
      </c>
      <c r="F26" s="36">
        <f t="shared" si="15"/>
        <v>3836</v>
      </c>
      <c r="G26" s="36">
        <f t="shared" si="15"/>
        <v>2413</v>
      </c>
      <c r="H26" s="36">
        <f t="shared" si="15"/>
        <v>3175</v>
      </c>
      <c r="I26" s="36">
        <f t="shared" si="15"/>
        <v>3832</v>
      </c>
      <c r="J26" s="36">
        <f t="shared" si="15"/>
        <v>7288</v>
      </c>
      <c r="K26" s="36">
        <f t="shared" si="15"/>
        <v>6037</v>
      </c>
      <c r="L26" s="37">
        <f t="shared" si="15"/>
        <v>4530</v>
      </c>
      <c r="M26" s="36">
        <f t="shared" si="15"/>
        <v>6605.892600000001</v>
      </c>
      <c r="N26" s="36">
        <f t="shared" si="15"/>
        <v>6505.2013985039994</v>
      </c>
      <c r="O26" s="36">
        <f t="shared" si="15"/>
        <v>6659.1496366580368</v>
      </c>
      <c r="P26" s="36">
        <f t="shared" si="15"/>
        <v>6940.9602557473681</v>
      </c>
      <c r="Q26" s="36">
        <f t="shared" si="15"/>
        <v>7115.322559553224</v>
      </c>
      <c r="R26" s="36">
        <f t="shared" si="15"/>
        <v>7663.7058868532713</v>
      </c>
      <c r="S26" s="36">
        <f t="shared" si="15"/>
        <v>8313.09318203763</v>
      </c>
      <c r="T26" s="36">
        <f t="shared" si="15"/>
        <v>9108.6820742919263</v>
      </c>
      <c r="U26" s="36">
        <f t="shared" si="15"/>
        <v>10140.430759271963</v>
      </c>
      <c r="V26" s="36">
        <f t="shared" si="15"/>
        <v>11420.20262743326</v>
      </c>
      <c r="W26" s="17"/>
      <c r="X26" s="17"/>
      <c r="Y26" s="17"/>
      <c r="Z26" s="17"/>
      <c r="AA26" s="17"/>
      <c r="AB26" s="17"/>
      <c r="AC26" s="17"/>
      <c r="AD26" s="17"/>
      <c r="AE26" s="17"/>
      <c r="AF26" s="17"/>
      <c r="AG26" s="17"/>
      <c r="AH26" s="17"/>
      <c r="AI26" s="17"/>
      <c r="AJ26" s="17"/>
      <c r="AK26" s="17"/>
      <c r="AL26" s="17"/>
      <c r="AM26" s="17"/>
      <c r="AN26" s="17"/>
    </row>
    <row r="27" spans="2:40" ht="15.75" customHeight="1" x14ac:dyDescent="0.2">
      <c r="B27" s="14" t="s">
        <v>59</v>
      </c>
      <c r="C27" s="27">
        <f>-'16''-25'' 10Ks'!C30</f>
        <v>-1379</v>
      </c>
      <c r="D27" s="27">
        <f>-'16''-25'' 10Ks'!D30</f>
        <v>660</v>
      </c>
      <c r="E27" s="27">
        <f>-'16''-25'' 10Ks'!E30</f>
        <v>-1576</v>
      </c>
      <c r="F27" s="27">
        <f>-'16''-25'' 10Ks'!F30</f>
        <v>-448</v>
      </c>
      <c r="G27" s="27">
        <f>-'16''-25'' 10Ks'!G30</f>
        <v>-44</v>
      </c>
      <c r="H27" s="27">
        <f>-'16''-25'' 10Ks'!H30</f>
        <v>-348</v>
      </c>
      <c r="I27" s="27">
        <f>-'16''-25'' 10Ks'!I30</f>
        <v>-586</v>
      </c>
      <c r="J27" s="27">
        <f>-'16''-25'' 10Ks'!J30</f>
        <v>-1006</v>
      </c>
      <c r="K27" s="27">
        <f>-'16''-25'' 10Ks'!K30</f>
        <v>-339</v>
      </c>
      <c r="L27" s="28">
        <f>-'16''-25'' 10Ks'!L30</f>
        <v>802</v>
      </c>
      <c r="M27" s="27">
        <f t="shared" ref="M27:V27" si="16">-M12*M26</f>
        <v>-396.35355600000003</v>
      </c>
      <c r="N27" s="27">
        <f t="shared" si="16"/>
        <v>-455.36409789528</v>
      </c>
      <c r="O27" s="27">
        <f t="shared" si="16"/>
        <v>-532.73197093264298</v>
      </c>
      <c r="P27" s="27">
        <f t="shared" si="16"/>
        <v>-624.68642301726311</v>
      </c>
      <c r="Q27" s="27">
        <f t="shared" si="16"/>
        <v>-711.5322559553224</v>
      </c>
      <c r="R27" s="27">
        <f t="shared" si="16"/>
        <v>-766.37058868532722</v>
      </c>
      <c r="S27" s="27">
        <f t="shared" si="16"/>
        <v>-831.30931820376304</v>
      </c>
      <c r="T27" s="27">
        <f t="shared" si="16"/>
        <v>-910.86820742919269</v>
      </c>
      <c r="U27" s="27">
        <f t="shared" si="16"/>
        <v>-1014.0430759271964</v>
      </c>
      <c r="V27" s="27">
        <f t="shared" si="16"/>
        <v>-1142.0202627433262</v>
      </c>
      <c r="W27" s="17"/>
      <c r="X27" s="17"/>
      <c r="Y27" s="17"/>
      <c r="Z27" s="17"/>
      <c r="AA27" s="17"/>
      <c r="AB27" s="17"/>
      <c r="AC27" s="17"/>
      <c r="AD27" s="17"/>
      <c r="AE27" s="17"/>
      <c r="AF27" s="17"/>
      <c r="AG27" s="17"/>
      <c r="AH27" s="17"/>
      <c r="AI27" s="17"/>
      <c r="AJ27" s="17"/>
      <c r="AK27" s="17"/>
      <c r="AL27" s="17"/>
      <c r="AM27" s="17"/>
      <c r="AN27" s="17"/>
    </row>
    <row r="28" spans="2:40" ht="15.75" customHeight="1" x14ac:dyDescent="0.2">
      <c r="B28" s="35" t="s">
        <v>60</v>
      </c>
      <c r="C28" s="36">
        <f t="shared" ref="C28:V28" si="17">C26+C27</f>
        <v>2999</v>
      </c>
      <c r="D28" s="36">
        <f t="shared" si="17"/>
        <v>5323</v>
      </c>
      <c r="E28" s="36">
        <f t="shared" si="17"/>
        <v>5776</v>
      </c>
      <c r="F28" s="36">
        <f t="shared" si="17"/>
        <v>3388</v>
      </c>
      <c r="G28" s="36">
        <f t="shared" si="17"/>
        <v>2369</v>
      </c>
      <c r="H28" s="36">
        <f t="shared" si="17"/>
        <v>2827</v>
      </c>
      <c r="I28" s="36">
        <f t="shared" si="17"/>
        <v>3246</v>
      </c>
      <c r="J28" s="36">
        <f t="shared" si="17"/>
        <v>6282</v>
      </c>
      <c r="K28" s="36">
        <f t="shared" si="17"/>
        <v>5698</v>
      </c>
      <c r="L28" s="37">
        <f t="shared" si="17"/>
        <v>5332</v>
      </c>
      <c r="M28" s="36">
        <f t="shared" si="17"/>
        <v>6209.539044000001</v>
      </c>
      <c r="N28" s="36">
        <f t="shared" si="17"/>
        <v>6049.8373006087195</v>
      </c>
      <c r="O28" s="36">
        <f t="shared" si="17"/>
        <v>6126.4176657253938</v>
      </c>
      <c r="P28" s="36">
        <f t="shared" si="17"/>
        <v>6316.2738327301049</v>
      </c>
      <c r="Q28" s="36">
        <f t="shared" si="17"/>
        <v>6403.7903035979016</v>
      </c>
      <c r="R28" s="36">
        <f t="shared" si="17"/>
        <v>6897.3352981679436</v>
      </c>
      <c r="S28" s="36">
        <f t="shared" si="17"/>
        <v>7481.7838638338671</v>
      </c>
      <c r="T28" s="36">
        <f t="shared" si="17"/>
        <v>8197.8138668627344</v>
      </c>
      <c r="U28" s="36">
        <f t="shared" si="17"/>
        <v>9126.3876833447666</v>
      </c>
      <c r="V28" s="36">
        <f t="shared" si="17"/>
        <v>10278.182364689934</v>
      </c>
      <c r="W28" s="17"/>
      <c r="X28" s="17"/>
      <c r="Y28" s="17"/>
      <c r="Z28" s="17"/>
      <c r="AA28" s="17"/>
      <c r="AB28" s="17"/>
      <c r="AC28" s="17"/>
      <c r="AD28" s="17"/>
      <c r="AE28" s="17"/>
      <c r="AF28" s="17"/>
      <c r="AG28" s="17"/>
      <c r="AH28" s="17"/>
      <c r="AI28" s="17"/>
      <c r="AJ28" s="17"/>
      <c r="AK28" s="17"/>
      <c r="AL28" s="17"/>
      <c r="AM28" s="17"/>
      <c r="AN28" s="17"/>
    </row>
    <row r="29" spans="2:40" ht="15.75" customHeight="1" x14ac:dyDescent="0.2">
      <c r="B29" s="32" t="s">
        <v>61</v>
      </c>
      <c r="C29" s="33">
        <f>'16''-25'' 10Ks'!C32</f>
        <v>-93</v>
      </c>
      <c r="D29" s="33">
        <f>'16''-25'' 10Ks'!D32</f>
        <v>57</v>
      </c>
      <c r="E29" s="33">
        <f>'16''-25'' 10Ks'!E32</f>
        <v>862</v>
      </c>
      <c r="F29" s="33">
        <f>'16''-25'' 10Ks'!F32</f>
        <v>381</v>
      </c>
      <c r="G29" s="33">
        <f>'16''-25'' 10Ks'!G32</f>
        <v>550</v>
      </c>
      <c r="H29" s="33">
        <f>'16''-25'' 10Ks'!H32</f>
        <v>746</v>
      </c>
      <c r="I29" s="33">
        <f>'16''-25'' 10Ks'!I32</f>
        <v>901</v>
      </c>
      <c r="J29" s="33">
        <f>'16''-25'' 10Ks'!J32</f>
        <v>1028</v>
      </c>
      <c r="K29" s="33">
        <f>'16''-25'' 10Ks'!K32</f>
        <v>1248</v>
      </c>
      <c r="L29" s="34">
        <f>'16''-25'' 10Ks'!L32</f>
        <v>1503</v>
      </c>
      <c r="M29" s="33">
        <f t="shared" ref="M29:V29" si="18">L29</f>
        <v>1503</v>
      </c>
      <c r="N29" s="33">
        <f t="shared" si="18"/>
        <v>1503</v>
      </c>
      <c r="O29" s="33">
        <f t="shared" si="18"/>
        <v>1503</v>
      </c>
      <c r="P29" s="33">
        <f t="shared" si="18"/>
        <v>1503</v>
      </c>
      <c r="Q29" s="33">
        <f t="shared" si="18"/>
        <v>1503</v>
      </c>
      <c r="R29" s="33">
        <f t="shared" si="18"/>
        <v>1503</v>
      </c>
      <c r="S29" s="33">
        <f t="shared" si="18"/>
        <v>1503</v>
      </c>
      <c r="T29" s="33">
        <f t="shared" si="18"/>
        <v>1503</v>
      </c>
      <c r="U29" s="33">
        <f t="shared" si="18"/>
        <v>1503</v>
      </c>
      <c r="V29" s="33">
        <f t="shared" si="18"/>
        <v>1503</v>
      </c>
      <c r="W29" s="17"/>
      <c r="X29" s="17"/>
      <c r="Y29" s="17"/>
      <c r="Z29" s="17"/>
      <c r="AA29" s="17"/>
      <c r="AB29" s="17"/>
      <c r="AC29" s="17"/>
      <c r="AD29" s="17"/>
      <c r="AE29" s="17"/>
      <c r="AF29" s="17"/>
      <c r="AG29" s="17"/>
      <c r="AH29" s="17"/>
      <c r="AI29" s="17"/>
      <c r="AJ29" s="17"/>
      <c r="AK29" s="17"/>
      <c r="AL29" s="17"/>
      <c r="AM29" s="17"/>
      <c r="AN29" s="17"/>
    </row>
    <row r="30" spans="2:40" ht="15.75" customHeight="1" x14ac:dyDescent="0.2">
      <c r="B30" s="35" t="s">
        <v>62</v>
      </c>
      <c r="C30" s="36">
        <f t="shared" ref="C30:V30" si="19">C28+C29</f>
        <v>2906</v>
      </c>
      <c r="D30" s="36">
        <f t="shared" si="19"/>
        <v>5380</v>
      </c>
      <c r="E30" s="36">
        <f t="shared" si="19"/>
        <v>6638</v>
      </c>
      <c r="F30" s="36">
        <f t="shared" si="19"/>
        <v>3769</v>
      </c>
      <c r="G30" s="36">
        <f t="shared" si="19"/>
        <v>2919</v>
      </c>
      <c r="H30" s="36">
        <f t="shared" si="19"/>
        <v>3573</v>
      </c>
      <c r="I30" s="36">
        <f t="shared" si="19"/>
        <v>4147</v>
      </c>
      <c r="J30" s="36">
        <f t="shared" si="19"/>
        <v>7310</v>
      </c>
      <c r="K30" s="36">
        <f t="shared" si="19"/>
        <v>6946</v>
      </c>
      <c r="L30" s="37">
        <f t="shared" si="19"/>
        <v>6835</v>
      </c>
      <c r="M30" s="36">
        <f t="shared" si="19"/>
        <v>7712.539044000001</v>
      </c>
      <c r="N30" s="36">
        <f t="shared" si="19"/>
        <v>7552.8373006087195</v>
      </c>
      <c r="O30" s="36">
        <f t="shared" si="19"/>
        <v>7629.4176657253938</v>
      </c>
      <c r="P30" s="36">
        <f t="shared" si="19"/>
        <v>7819.2738327301049</v>
      </c>
      <c r="Q30" s="36">
        <f t="shared" si="19"/>
        <v>7906.7903035979016</v>
      </c>
      <c r="R30" s="36">
        <f t="shared" si="19"/>
        <v>8400.3352981679436</v>
      </c>
      <c r="S30" s="36">
        <f t="shared" si="19"/>
        <v>8984.7838638338671</v>
      </c>
      <c r="T30" s="36">
        <f t="shared" si="19"/>
        <v>9700.8138668627344</v>
      </c>
      <c r="U30" s="36">
        <f t="shared" si="19"/>
        <v>10629.387683344767</v>
      </c>
      <c r="V30" s="36">
        <f t="shared" si="19"/>
        <v>11781.182364689934</v>
      </c>
      <c r="W30" s="17"/>
      <c r="X30" s="17"/>
      <c r="Y30" s="17"/>
      <c r="Z30" s="17"/>
      <c r="AA30" s="17"/>
      <c r="AB30" s="17"/>
      <c r="AC30" s="17"/>
      <c r="AD30" s="17"/>
      <c r="AE30" s="17"/>
      <c r="AF30" s="17"/>
      <c r="AG30" s="17"/>
      <c r="AH30" s="17"/>
      <c r="AI30" s="17"/>
      <c r="AJ30" s="17"/>
      <c r="AK30" s="17"/>
      <c r="AL30" s="17"/>
      <c r="AM30" s="17"/>
      <c r="AN30" s="17"/>
    </row>
    <row r="31" spans="2:40" ht="15.75" customHeight="1" x14ac:dyDescent="0.2">
      <c r="B31" s="17"/>
      <c r="C31" s="17"/>
      <c r="D31" s="17"/>
      <c r="E31" s="17"/>
      <c r="F31" s="17"/>
      <c r="G31" s="17"/>
      <c r="H31" s="17"/>
      <c r="I31" s="17"/>
      <c r="J31" s="17"/>
      <c r="K31" s="17"/>
      <c r="L31" s="22"/>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row>
    <row r="32" spans="2:40" ht="15.75" customHeight="1" x14ac:dyDescent="0.2">
      <c r="B32" s="23" t="s">
        <v>63</v>
      </c>
      <c r="C32" s="17"/>
      <c r="D32" s="17"/>
      <c r="E32" s="17"/>
      <c r="F32" s="17"/>
      <c r="G32" s="17"/>
      <c r="H32" s="17"/>
      <c r="I32" s="17"/>
      <c r="J32" s="17"/>
      <c r="K32" s="17"/>
      <c r="L32" s="22"/>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row>
    <row r="33" spans="2:40" ht="15.75" customHeight="1" x14ac:dyDescent="0.2">
      <c r="B33" s="14" t="s">
        <v>64</v>
      </c>
      <c r="C33" s="27">
        <f t="shared" ref="C33:V33" si="20">C30</f>
        <v>2906</v>
      </c>
      <c r="D33" s="27">
        <f t="shared" si="20"/>
        <v>5380</v>
      </c>
      <c r="E33" s="27">
        <f t="shared" si="20"/>
        <v>6638</v>
      </c>
      <c r="F33" s="27">
        <f t="shared" si="20"/>
        <v>3769</v>
      </c>
      <c r="G33" s="27">
        <f t="shared" si="20"/>
        <v>2919</v>
      </c>
      <c r="H33" s="27">
        <f t="shared" si="20"/>
        <v>3573</v>
      </c>
      <c r="I33" s="27">
        <f t="shared" si="20"/>
        <v>4147</v>
      </c>
      <c r="J33" s="27">
        <f t="shared" si="20"/>
        <v>7310</v>
      </c>
      <c r="K33" s="27">
        <f t="shared" si="20"/>
        <v>6946</v>
      </c>
      <c r="L33" s="28">
        <f t="shared" si="20"/>
        <v>6835</v>
      </c>
      <c r="M33" s="27">
        <f t="shared" si="20"/>
        <v>7712.539044000001</v>
      </c>
      <c r="N33" s="27">
        <f t="shared" si="20"/>
        <v>7552.8373006087195</v>
      </c>
      <c r="O33" s="27">
        <f t="shared" si="20"/>
        <v>7629.4176657253938</v>
      </c>
      <c r="P33" s="27">
        <f t="shared" si="20"/>
        <v>7819.2738327301049</v>
      </c>
      <c r="Q33" s="27">
        <f t="shared" si="20"/>
        <v>7906.7903035979016</v>
      </c>
      <c r="R33" s="27">
        <f t="shared" si="20"/>
        <v>8400.3352981679436</v>
      </c>
      <c r="S33" s="27">
        <f t="shared" si="20"/>
        <v>8984.7838638338671</v>
      </c>
      <c r="T33" s="27">
        <f t="shared" si="20"/>
        <v>9700.8138668627344</v>
      </c>
      <c r="U33" s="27">
        <f t="shared" si="20"/>
        <v>10629.387683344767</v>
      </c>
      <c r="V33" s="27">
        <f t="shared" si="20"/>
        <v>11781.182364689934</v>
      </c>
      <c r="W33" s="17"/>
      <c r="X33" s="17"/>
      <c r="Y33" s="17"/>
      <c r="Z33" s="17"/>
      <c r="AA33" s="17"/>
      <c r="AB33" s="17"/>
      <c r="AC33" s="17"/>
      <c r="AD33" s="17"/>
      <c r="AE33" s="17"/>
      <c r="AF33" s="17"/>
      <c r="AG33" s="17"/>
      <c r="AH33" s="17"/>
      <c r="AI33" s="17"/>
      <c r="AJ33" s="17"/>
      <c r="AK33" s="17"/>
      <c r="AL33" s="17"/>
      <c r="AM33" s="17"/>
      <c r="AN33" s="17"/>
    </row>
    <row r="34" spans="2:40" ht="15.75" customHeight="1" x14ac:dyDescent="0.2">
      <c r="B34" s="14" t="s">
        <v>65</v>
      </c>
      <c r="C34" s="27">
        <f t="shared" ref="C34:V34" si="21">-C23</f>
        <v>3120</v>
      </c>
      <c r="D34" s="27">
        <f t="shared" si="21"/>
        <v>2357</v>
      </c>
      <c r="E34" s="27">
        <f t="shared" si="21"/>
        <v>3911</v>
      </c>
      <c r="F34" s="27">
        <f t="shared" si="21"/>
        <v>4216</v>
      </c>
      <c r="G34" s="27">
        <f t="shared" si="21"/>
        <v>4052</v>
      </c>
      <c r="H34" s="27">
        <f t="shared" si="21"/>
        <v>3924</v>
      </c>
      <c r="I34" s="27">
        <f t="shared" si="21"/>
        <v>4503</v>
      </c>
      <c r="J34" s="27">
        <f t="shared" si="21"/>
        <v>5879</v>
      </c>
      <c r="K34" s="27">
        <f t="shared" si="21"/>
        <v>5462</v>
      </c>
      <c r="L34" s="28">
        <f t="shared" si="21"/>
        <v>6580</v>
      </c>
      <c r="M34" s="27">
        <f t="shared" si="21"/>
        <v>6560.2740000000003</v>
      </c>
      <c r="N34" s="27">
        <f t="shared" si="21"/>
        <v>7460.7408114959999</v>
      </c>
      <c r="O34" s="27">
        <f t="shared" si="21"/>
        <v>8428.3944251851663</v>
      </c>
      <c r="P34" s="27">
        <f t="shared" si="21"/>
        <v>9436.9231777227978</v>
      </c>
      <c r="Q34" s="27">
        <f t="shared" si="21"/>
        <v>10486.94215910861</v>
      </c>
      <c r="R34" s="27">
        <f t="shared" si="21"/>
        <v>11559.89393277477</v>
      </c>
      <c r="S34" s="27">
        <f t="shared" si="21"/>
        <v>12661.004538733117</v>
      </c>
      <c r="T34" s="27">
        <f t="shared" si="21"/>
        <v>13753.403371692699</v>
      </c>
      <c r="U34" s="27">
        <f t="shared" si="21"/>
        <v>14788.24253460328</v>
      </c>
      <c r="V34" s="27">
        <f t="shared" si="21"/>
        <v>15761.051420642771</v>
      </c>
      <c r="W34" s="17"/>
      <c r="X34" s="17"/>
      <c r="Y34" s="17"/>
      <c r="Z34" s="17"/>
      <c r="AA34" s="17"/>
      <c r="AB34" s="17"/>
      <c r="AC34" s="17"/>
      <c r="AD34" s="17"/>
      <c r="AE34" s="17"/>
      <c r="AF34" s="17"/>
      <c r="AG34" s="17"/>
      <c r="AH34" s="17"/>
      <c r="AI34" s="17"/>
      <c r="AJ34" s="17"/>
      <c r="AK34" s="17"/>
      <c r="AL34" s="17"/>
      <c r="AM34" s="17"/>
      <c r="AN34" s="17"/>
    </row>
    <row r="35" spans="2:40" ht="15.75" customHeight="1" x14ac:dyDescent="0.2">
      <c r="B35" s="14" t="s">
        <v>66</v>
      </c>
      <c r="C35" s="27"/>
      <c r="D35" s="27">
        <f t="shared" ref="D35:V35" si="22">D68</f>
        <v>-2586</v>
      </c>
      <c r="E35" s="27">
        <f t="shared" si="22"/>
        <v>-13600</v>
      </c>
      <c r="F35" s="27">
        <f t="shared" si="22"/>
        <v>2820</v>
      </c>
      <c r="G35" s="27">
        <f t="shared" si="22"/>
        <v>1221</v>
      </c>
      <c r="H35" s="27">
        <f t="shared" si="22"/>
        <v>-152</v>
      </c>
      <c r="I35" s="27">
        <f t="shared" si="22"/>
        <v>-368</v>
      </c>
      <c r="J35" s="27">
        <f t="shared" si="22"/>
        <v>-1881</v>
      </c>
      <c r="K35" s="27">
        <f t="shared" si="22"/>
        <v>59</v>
      </c>
      <c r="L35" s="28">
        <f t="shared" si="22"/>
        <v>-635</v>
      </c>
      <c r="M35" s="27">
        <f t="shared" si="22"/>
        <v>-308.90000000000146</v>
      </c>
      <c r="N35" s="27">
        <f t="shared" si="22"/>
        <v>-339.79000000000087</v>
      </c>
      <c r="O35" s="27">
        <f t="shared" si="22"/>
        <v>-366.29361999998218</v>
      </c>
      <c r="P35" s="27">
        <f t="shared" si="22"/>
        <v>-389.87844390001555</v>
      </c>
      <c r="Q35" s="27">
        <f t="shared" si="22"/>
        <v>-417.9291719426983</v>
      </c>
      <c r="R35" s="27">
        <f t="shared" si="22"/>
        <v>-451.88479369753622</v>
      </c>
      <c r="S35" s="27">
        <f t="shared" si="22"/>
        <v>-488.09451868815813</v>
      </c>
      <c r="T35" s="27">
        <f t="shared" si="22"/>
        <v>-526.65934934053803</v>
      </c>
      <c r="U35" s="27">
        <f t="shared" si="22"/>
        <v>-574.05869078122487</v>
      </c>
      <c r="V35" s="27">
        <f t="shared" si="22"/>
        <v>-625.72397295151313</v>
      </c>
      <c r="W35" s="17"/>
      <c r="X35" s="17"/>
      <c r="Y35" s="17"/>
      <c r="Z35" s="17"/>
      <c r="AA35" s="17"/>
      <c r="AB35" s="17"/>
      <c r="AC35" s="17"/>
      <c r="AD35" s="17"/>
      <c r="AE35" s="17"/>
      <c r="AF35" s="17"/>
      <c r="AG35" s="17"/>
      <c r="AH35" s="17"/>
      <c r="AI35" s="17"/>
      <c r="AJ35" s="17"/>
      <c r="AK35" s="17"/>
      <c r="AL35" s="17"/>
      <c r="AM35" s="17"/>
      <c r="AN35" s="17"/>
    </row>
    <row r="36" spans="2:40" ht="15.75" customHeight="1" x14ac:dyDescent="0.2">
      <c r="B36" s="29" t="s">
        <v>67</v>
      </c>
      <c r="C36" s="30">
        <f t="shared" ref="C36:V36" si="23">SUM(C33:C35)</f>
        <v>6026</v>
      </c>
      <c r="D36" s="30">
        <f t="shared" si="23"/>
        <v>5151</v>
      </c>
      <c r="E36" s="30">
        <f t="shared" si="23"/>
        <v>-3051</v>
      </c>
      <c r="F36" s="30">
        <f t="shared" si="23"/>
        <v>10805</v>
      </c>
      <c r="G36" s="30">
        <f t="shared" si="23"/>
        <v>8192</v>
      </c>
      <c r="H36" s="30">
        <f t="shared" si="23"/>
        <v>7345</v>
      </c>
      <c r="I36" s="30">
        <f t="shared" si="23"/>
        <v>8282</v>
      </c>
      <c r="J36" s="30">
        <f t="shared" si="23"/>
        <v>11308</v>
      </c>
      <c r="K36" s="30">
        <f t="shared" si="23"/>
        <v>12467</v>
      </c>
      <c r="L36" s="31">
        <f t="shared" si="23"/>
        <v>12780</v>
      </c>
      <c r="M36" s="30">
        <f t="shared" si="23"/>
        <v>13963.913044000001</v>
      </c>
      <c r="N36" s="30">
        <f t="shared" si="23"/>
        <v>14673.788112104718</v>
      </c>
      <c r="O36" s="30">
        <f t="shared" si="23"/>
        <v>15691.518470910578</v>
      </c>
      <c r="P36" s="30">
        <f t="shared" si="23"/>
        <v>16866.318566552887</v>
      </c>
      <c r="Q36" s="30">
        <f t="shared" si="23"/>
        <v>17975.803290763812</v>
      </c>
      <c r="R36" s="30">
        <f t="shared" si="23"/>
        <v>19508.344437245178</v>
      </c>
      <c r="S36" s="30">
        <f t="shared" si="23"/>
        <v>21157.693883878826</v>
      </c>
      <c r="T36" s="30">
        <f t="shared" si="23"/>
        <v>22927.557889214895</v>
      </c>
      <c r="U36" s="30">
        <f t="shared" si="23"/>
        <v>24843.571527166823</v>
      </c>
      <c r="V36" s="30">
        <f t="shared" si="23"/>
        <v>26916.509812381191</v>
      </c>
      <c r="W36" s="17"/>
      <c r="X36" s="17"/>
      <c r="Y36" s="17"/>
      <c r="Z36" s="17"/>
      <c r="AA36" s="17"/>
      <c r="AB36" s="17"/>
      <c r="AC36" s="17"/>
      <c r="AD36" s="17"/>
      <c r="AE36" s="17"/>
      <c r="AF36" s="17"/>
      <c r="AG36" s="17"/>
      <c r="AH36" s="17"/>
      <c r="AI36" s="17"/>
      <c r="AJ36" s="17"/>
      <c r="AK36" s="17"/>
      <c r="AL36" s="17"/>
      <c r="AM36" s="17"/>
      <c r="AN36" s="17"/>
    </row>
    <row r="37" spans="2:40" ht="15.75" customHeight="1" x14ac:dyDescent="0.2">
      <c r="B37" s="32" t="s">
        <v>68</v>
      </c>
      <c r="C37" s="33">
        <f t="shared" ref="C37:V37" si="24">-C60</f>
        <v>-9636</v>
      </c>
      <c r="D37" s="33">
        <f t="shared" si="24"/>
        <v>-10740</v>
      </c>
      <c r="E37" s="33">
        <f t="shared" si="24"/>
        <v>-13004</v>
      </c>
      <c r="F37" s="33">
        <f t="shared" si="24"/>
        <v>-17462</v>
      </c>
      <c r="G37" s="33">
        <f t="shared" si="24"/>
        <v>-14610</v>
      </c>
      <c r="H37" s="33">
        <f t="shared" si="24"/>
        <v>-16077</v>
      </c>
      <c r="I37" s="33">
        <f t="shared" si="24"/>
        <v>-19283</v>
      </c>
      <c r="J37" s="33">
        <f t="shared" si="24"/>
        <v>-25113</v>
      </c>
      <c r="K37" s="33">
        <f t="shared" si="24"/>
        <v>-24729</v>
      </c>
      <c r="L37" s="34">
        <f t="shared" si="24"/>
        <v>-24606</v>
      </c>
      <c r="M37" s="33">
        <f t="shared" si="24"/>
        <v>-27999.959988000002</v>
      </c>
      <c r="N37" s="33">
        <f t="shared" si="24"/>
        <v>-30500.112566000003</v>
      </c>
      <c r="O37" s="33">
        <f t="shared" si="24"/>
        <v>-32440.983771319203</v>
      </c>
      <c r="P37" s="33">
        <f t="shared" si="24"/>
        <v>-34437.375115480267</v>
      </c>
      <c r="Q37" s="33">
        <f t="shared" si="24"/>
        <v>-36033.412960683803</v>
      </c>
      <c r="R37" s="33">
        <f t="shared" si="24"/>
        <v>-37776.813122259206</v>
      </c>
      <c r="S37" s="33">
        <f t="shared" si="24"/>
        <v>-38670.500561580287</v>
      </c>
      <c r="T37" s="33">
        <f t="shared" si="24"/>
        <v>-38392.431060039831</v>
      </c>
      <c r="U37" s="33">
        <f t="shared" si="24"/>
        <v>-37950.358868876872</v>
      </c>
      <c r="V37" s="33">
        <f t="shared" si="24"/>
        <v>-37767.365966135752</v>
      </c>
      <c r="W37" s="17"/>
      <c r="X37" s="17"/>
      <c r="Y37" s="17"/>
      <c r="Z37" s="17"/>
      <c r="AA37" s="17"/>
      <c r="AB37" s="17"/>
      <c r="AC37" s="17"/>
      <c r="AD37" s="17"/>
      <c r="AE37" s="17"/>
      <c r="AF37" s="17"/>
      <c r="AG37" s="17"/>
      <c r="AH37" s="17"/>
      <c r="AI37" s="17"/>
      <c r="AJ37" s="17"/>
      <c r="AK37" s="17"/>
      <c r="AL37" s="17"/>
      <c r="AM37" s="17"/>
      <c r="AN37" s="17"/>
    </row>
    <row r="38" spans="2:40" ht="15.75" customHeight="1" x14ac:dyDescent="0.2">
      <c r="B38" s="35" t="s">
        <v>69</v>
      </c>
      <c r="C38" s="36">
        <f t="shared" ref="C38:V38" si="25">C37</f>
        <v>-9636</v>
      </c>
      <c r="D38" s="36">
        <f t="shared" si="25"/>
        <v>-10740</v>
      </c>
      <c r="E38" s="36">
        <f t="shared" si="25"/>
        <v>-13004</v>
      </c>
      <c r="F38" s="36">
        <f t="shared" si="25"/>
        <v>-17462</v>
      </c>
      <c r="G38" s="36">
        <f t="shared" si="25"/>
        <v>-14610</v>
      </c>
      <c r="H38" s="36">
        <f t="shared" si="25"/>
        <v>-16077</v>
      </c>
      <c r="I38" s="36">
        <f t="shared" si="25"/>
        <v>-19283</v>
      </c>
      <c r="J38" s="36">
        <f t="shared" si="25"/>
        <v>-25113</v>
      </c>
      <c r="K38" s="36">
        <f t="shared" si="25"/>
        <v>-24729</v>
      </c>
      <c r="L38" s="37">
        <f t="shared" si="25"/>
        <v>-24606</v>
      </c>
      <c r="M38" s="36">
        <f t="shared" si="25"/>
        <v>-27999.959988000002</v>
      </c>
      <c r="N38" s="36">
        <f t="shared" si="25"/>
        <v>-30500.112566000003</v>
      </c>
      <c r="O38" s="36">
        <f t="shared" si="25"/>
        <v>-32440.983771319203</v>
      </c>
      <c r="P38" s="36">
        <f t="shared" si="25"/>
        <v>-34437.375115480267</v>
      </c>
      <c r="Q38" s="36">
        <f t="shared" si="25"/>
        <v>-36033.412960683803</v>
      </c>
      <c r="R38" s="36">
        <f t="shared" si="25"/>
        <v>-37776.813122259206</v>
      </c>
      <c r="S38" s="36">
        <f t="shared" si="25"/>
        <v>-38670.500561580287</v>
      </c>
      <c r="T38" s="36">
        <f t="shared" si="25"/>
        <v>-38392.431060039831</v>
      </c>
      <c r="U38" s="36">
        <f t="shared" si="25"/>
        <v>-37950.358868876872</v>
      </c>
      <c r="V38" s="36">
        <f t="shared" si="25"/>
        <v>-37767.365966135752</v>
      </c>
      <c r="W38" s="17"/>
      <c r="X38" s="17"/>
      <c r="Y38" s="17"/>
      <c r="Z38" s="17"/>
      <c r="AA38" s="17"/>
      <c r="AB38" s="17"/>
      <c r="AC38" s="17"/>
      <c r="AD38" s="17"/>
      <c r="AE38" s="17"/>
      <c r="AF38" s="17"/>
      <c r="AG38" s="17"/>
      <c r="AH38" s="17"/>
      <c r="AI38" s="17"/>
      <c r="AJ38" s="17"/>
      <c r="AK38" s="17"/>
      <c r="AL38" s="17"/>
      <c r="AM38" s="17"/>
      <c r="AN38" s="17"/>
    </row>
    <row r="39" spans="2:40" ht="15.75" customHeight="1" x14ac:dyDescent="0.2">
      <c r="B39" s="14" t="s">
        <v>70</v>
      </c>
      <c r="C39" s="27"/>
      <c r="D39" s="27">
        <f t="shared" ref="D39:V39" si="26">D72</f>
        <v>4185</v>
      </c>
      <c r="E39" s="27">
        <f t="shared" si="26"/>
        <v>2687</v>
      </c>
      <c r="F39" s="27">
        <f t="shared" si="26"/>
        <v>4871</v>
      </c>
      <c r="G39" s="27">
        <f t="shared" si="26"/>
        <v>5508</v>
      </c>
      <c r="H39" s="27">
        <f t="shared" si="26"/>
        <v>6736</v>
      </c>
      <c r="I39" s="27">
        <f t="shared" si="26"/>
        <v>10139</v>
      </c>
      <c r="J39" s="27">
        <f t="shared" si="26"/>
        <v>8245</v>
      </c>
      <c r="K39" s="27">
        <f t="shared" si="26"/>
        <v>9122</v>
      </c>
      <c r="L39" s="28">
        <f t="shared" si="26"/>
        <v>13286</v>
      </c>
      <c r="M39" s="27">
        <f t="shared" si="26"/>
        <v>16372.55</v>
      </c>
      <c r="N39" s="27">
        <f t="shared" si="26"/>
        <v>10999.151494399994</v>
      </c>
      <c r="O39" s="27">
        <f t="shared" si="26"/>
        <v>11857.08531096323</v>
      </c>
      <c r="P39" s="27">
        <f t="shared" si="26"/>
        <v>12620.536416189483</v>
      </c>
      <c r="Q39" s="27">
        <f t="shared" si="26"/>
        <v>13528.550799396413</v>
      </c>
      <c r="R39" s="27">
        <f t="shared" si="26"/>
        <v>14627.709184775304</v>
      </c>
      <c r="S39" s="27">
        <f t="shared" si="26"/>
        <v>15799.833881624945</v>
      </c>
      <c r="T39" s="27">
        <f t="shared" si="26"/>
        <v>17048.194382821443</v>
      </c>
      <c r="U39" s="27">
        <f t="shared" si="26"/>
        <v>18582.531877275353</v>
      </c>
      <c r="V39" s="27">
        <f t="shared" si="26"/>
        <v>20254.959746230248</v>
      </c>
      <c r="W39" s="17"/>
      <c r="X39" s="17"/>
      <c r="Y39" s="17"/>
      <c r="Z39" s="17"/>
      <c r="AA39" s="17"/>
      <c r="AB39" s="17"/>
      <c r="AC39" s="17"/>
      <c r="AD39" s="17"/>
      <c r="AE39" s="17"/>
      <c r="AF39" s="17"/>
      <c r="AG39" s="17"/>
      <c r="AH39" s="17"/>
      <c r="AI39" s="17"/>
      <c r="AJ39" s="17"/>
      <c r="AK39" s="17"/>
      <c r="AL39" s="17"/>
      <c r="AM39" s="17"/>
      <c r="AN39" s="17"/>
    </row>
    <row r="40" spans="2:40" ht="15.75" customHeight="1" x14ac:dyDescent="0.2">
      <c r="B40" s="14" t="s">
        <v>71</v>
      </c>
      <c r="C40" s="38">
        <f>'16''-25'' 10Ks'!C80</f>
        <v>537</v>
      </c>
      <c r="D40" s="38">
        <f>'16''-25'' 10Ks'!D80</f>
        <v>603</v>
      </c>
      <c r="E40" s="38">
        <f>'16''-25'' 10Ks'!E80</f>
        <v>718</v>
      </c>
      <c r="F40" s="38">
        <f>'16''-25'' 10Ks'!F80</f>
        <v>1494</v>
      </c>
      <c r="G40" s="38">
        <f>'16''-25'' 10Ks'!G80</f>
        <v>-92</v>
      </c>
      <c r="H40" s="38">
        <f>'16''-25'' 10Ks'!H80</f>
        <v>14</v>
      </c>
      <c r="I40" s="38">
        <f>'16''-25'' 10Ks'!I80</f>
        <v>1460</v>
      </c>
      <c r="J40" s="38">
        <f>'16''-25'' 10Ks'!J80</f>
        <v>4514</v>
      </c>
      <c r="K40" s="38">
        <f>'16''-25'' 10Ks'!K80</f>
        <v>48</v>
      </c>
      <c r="L40" s="39">
        <f>'16''-25'' 10Ks'!L80</f>
        <v>2038</v>
      </c>
      <c r="M40" s="40">
        <v>2000</v>
      </c>
      <c r="N40" s="40">
        <f t="shared" ref="N40:V40" si="27">N60-N36-N72-N41</f>
        <v>10284.549039495294</v>
      </c>
      <c r="O40" s="40">
        <f t="shared" si="27"/>
        <v>10677.198634245397</v>
      </c>
      <c r="P40" s="40">
        <f t="shared" si="27"/>
        <v>11057.635816319613</v>
      </c>
      <c r="Q40" s="40">
        <f t="shared" si="27"/>
        <v>10950.254789260925</v>
      </c>
      <c r="R40" s="40">
        <f t="shared" si="27"/>
        <v>10364.668940859403</v>
      </c>
      <c r="S40" s="40">
        <f t="shared" si="27"/>
        <v>8725.0497841523647</v>
      </c>
      <c r="T40" s="40">
        <f t="shared" si="27"/>
        <v>5699.2216027622699</v>
      </c>
      <c r="U40" s="40">
        <f t="shared" si="27"/>
        <v>2056.4854614137739</v>
      </c>
      <c r="V40" s="40">
        <f t="shared" si="27"/>
        <v>-1645.9066955872368</v>
      </c>
      <c r="W40" s="17"/>
      <c r="X40" s="17"/>
      <c r="Y40" s="17"/>
      <c r="Z40" s="17"/>
      <c r="AA40" s="17"/>
      <c r="AB40" s="17"/>
      <c r="AC40" s="17"/>
      <c r="AD40" s="17"/>
      <c r="AE40" s="17"/>
      <c r="AF40" s="17"/>
      <c r="AG40" s="17"/>
      <c r="AH40" s="17"/>
      <c r="AI40" s="17"/>
      <c r="AJ40" s="17"/>
      <c r="AK40" s="17"/>
      <c r="AL40" s="17"/>
      <c r="AM40" s="17"/>
      <c r="AN40" s="17"/>
    </row>
    <row r="41" spans="2:40" ht="15.75" customHeight="1" x14ac:dyDescent="0.2">
      <c r="B41" s="14" t="s">
        <v>72</v>
      </c>
      <c r="C41" s="27">
        <f>'16''-25'' 10Ks'!C82</f>
        <v>-1612</v>
      </c>
      <c r="D41" s="27">
        <f>'16''-25'' 10Ks'!D82</f>
        <v>-1845</v>
      </c>
      <c r="E41" s="27">
        <f>'16''-25'' 10Ks'!E82</f>
        <v>-2101</v>
      </c>
      <c r="F41" s="27">
        <f>'16''-25'' 10Ks'!F82</f>
        <v>-2408</v>
      </c>
      <c r="G41" s="27">
        <f>'16''-25'' 10Ks'!G82</f>
        <v>-2743</v>
      </c>
      <c r="H41" s="27">
        <f>'16''-25'' 10Ks'!H82</f>
        <v>-3024</v>
      </c>
      <c r="I41" s="27">
        <f>'16''-25'' 10Ks'!I82</f>
        <v>-3352</v>
      </c>
      <c r="J41" s="27">
        <f>'16''-25'' 10Ks'!J82</f>
        <v>-3782</v>
      </c>
      <c r="K41" s="27">
        <f>'16''-25'' 10Ks'!K82</f>
        <v>-4235</v>
      </c>
      <c r="L41" s="28">
        <f>'16''-25'' 10Ks'!L82</f>
        <v>-4680</v>
      </c>
      <c r="M41" s="27">
        <f t="shared" ref="M41:V41" si="28">L41*(1+M15)</f>
        <v>-5148.4680000000008</v>
      </c>
      <c r="N41" s="27">
        <f t="shared" si="28"/>
        <v>-5457.3760800000009</v>
      </c>
      <c r="O41" s="27">
        <f t="shared" si="28"/>
        <v>-5784.8186448000015</v>
      </c>
      <c r="P41" s="27">
        <f t="shared" si="28"/>
        <v>-6107.1156835817155</v>
      </c>
      <c r="Q41" s="27">
        <f t="shared" si="28"/>
        <v>-6421.1959187373459</v>
      </c>
      <c r="R41" s="27">
        <f t="shared" si="28"/>
        <v>-6723.9094406206777</v>
      </c>
      <c r="S41" s="27">
        <f t="shared" si="28"/>
        <v>-7012.0769880758498</v>
      </c>
      <c r="T41" s="27">
        <f t="shared" si="28"/>
        <v>-7282.5428147587763</v>
      </c>
      <c r="U41" s="27">
        <f t="shared" si="28"/>
        <v>-7532.2299969790774</v>
      </c>
      <c r="V41" s="27">
        <f t="shared" si="28"/>
        <v>-7758.1968968884503</v>
      </c>
      <c r="W41" s="17"/>
      <c r="X41" s="17"/>
      <c r="Y41" s="17"/>
      <c r="Z41" s="17"/>
      <c r="AA41" s="17"/>
      <c r="AB41" s="17"/>
      <c r="AC41" s="17"/>
      <c r="AD41" s="17"/>
      <c r="AE41" s="17"/>
      <c r="AF41" s="17"/>
      <c r="AG41" s="17"/>
      <c r="AH41" s="17"/>
      <c r="AI41" s="17"/>
      <c r="AJ41" s="17"/>
      <c r="AK41" s="17"/>
      <c r="AL41" s="17"/>
      <c r="AM41" s="17"/>
      <c r="AN41" s="17"/>
    </row>
    <row r="42" spans="2:40" ht="15.75" customHeight="1" x14ac:dyDescent="0.2">
      <c r="B42" s="41" t="s">
        <v>73</v>
      </c>
      <c r="C42" s="42">
        <f t="shared" ref="C42:V42" si="29">SUM(C39:C41)</f>
        <v>-1075</v>
      </c>
      <c r="D42" s="42">
        <f t="shared" si="29"/>
        <v>2943</v>
      </c>
      <c r="E42" s="42">
        <f t="shared" si="29"/>
        <v>1304</v>
      </c>
      <c r="F42" s="42">
        <f t="shared" si="29"/>
        <v>3957</v>
      </c>
      <c r="G42" s="42">
        <f t="shared" si="29"/>
        <v>2673</v>
      </c>
      <c r="H42" s="42">
        <f t="shared" si="29"/>
        <v>3726</v>
      </c>
      <c r="I42" s="42">
        <f t="shared" si="29"/>
        <v>8247</v>
      </c>
      <c r="J42" s="42">
        <f t="shared" si="29"/>
        <v>8977</v>
      </c>
      <c r="K42" s="42">
        <f t="shared" si="29"/>
        <v>4935</v>
      </c>
      <c r="L42" s="43">
        <f t="shared" si="29"/>
        <v>10644</v>
      </c>
      <c r="M42" s="42">
        <f t="shared" si="29"/>
        <v>13224.081999999999</v>
      </c>
      <c r="N42" s="42">
        <f t="shared" si="29"/>
        <v>15826.324453895286</v>
      </c>
      <c r="O42" s="42">
        <f t="shared" si="29"/>
        <v>16749.465300408625</v>
      </c>
      <c r="P42" s="42">
        <f t="shared" si="29"/>
        <v>17571.056548927379</v>
      </c>
      <c r="Q42" s="42">
        <f t="shared" si="29"/>
        <v>18057.609669919992</v>
      </c>
      <c r="R42" s="42">
        <f t="shared" si="29"/>
        <v>18268.468685014028</v>
      </c>
      <c r="S42" s="42">
        <f t="shared" si="29"/>
        <v>17512.806677701461</v>
      </c>
      <c r="T42" s="42">
        <f t="shared" si="29"/>
        <v>15464.873170824936</v>
      </c>
      <c r="U42" s="42">
        <f t="shared" si="29"/>
        <v>13106.787341710049</v>
      </c>
      <c r="V42" s="42">
        <f t="shared" si="29"/>
        <v>10850.856153754561</v>
      </c>
      <c r="W42" s="17"/>
      <c r="X42" s="17"/>
      <c r="Y42" s="17"/>
      <c r="Z42" s="17"/>
      <c r="AA42" s="17"/>
      <c r="AB42" s="17"/>
      <c r="AC42" s="17"/>
      <c r="AD42" s="17"/>
      <c r="AE42" s="17"/>
      <c r="AF42" s="17"/>
      <c r="AG42" s="17"/>
      <c r="AH42" s="17"/>
      <c r="AI42" s="17"/>
      <c r="AJ42" s="17"/>
      <c r="AK42" s="17"/>
      <c r="AL42" s="17"/>
      <c r="AM42" s="17"/>
      <c r="AN42" s="17"/>
    </row>
    <row r="43" spans="2:40" ht="15.75" customHeight="1" x14ac:dyDescent="0.2">
      <c r="B43" s="14" t="s">
        <v>74</v>
      </c>
      <c r="C43" s="27">
        <f t="shared" ref="C43:V43" si="30">C36+C38+C42</f>
        <v>-4685</v>
      </c>
      <c r="D43" s="27">
        <f t="shared" si="30"/>
        <v>-2646</v>
      </c>
      <c r="E43" s="27">
        <f t="shared" si="30"/>
        <v>-14751</v>
      </c>
      <c r="F43" s="27">
        <f t="shared" si="30"/>
        <v>-2700</v>
      </c>
      <c r="G43" s="27">
        <f t="shared" si="30"/>
        <v>-3745</v>
      </c>
      <c r="H43" s="27">
        <f t="shared" si="30"/>
        <v>-5006</v>
      </c>
      <c r="I43" s="27">
        <f t="shared" si="30"/>
        <v>-2754</v>
      </c>
      <c r="J43" s="27">
        <f t="shared" si="30"/>
        <v>-4828</v>
      </c>
      <c r="K43" s="27">
        <f t="shared" si="30"/>
        <v>-7327</v>
      </c>
      <c r="L43" s="28">
        <f t="shared" si="30"/>
        <v>-1182</v>
      </c>
      <c r="M43" s="27">
        <f t="shared" si="30"/>
        <v>-811.96494400000302</v>
      </c>
      <c r="N43" s="27">
        <f t="shared" si="30"/>
        <v>0</v>
      </c>
      <c r="O43" s="27">
        <f t="shared" si="30"/>
        <v>0</v>
      </c>
      <c r="P43" s="27">
        <f t="shared" si="30"/>
        <v>0</v>
      </c>
      <c r="Q43" s="27">
        <f t="shared" si="30"/>
        <v>0</v>
      </c>
      <c r="R43" s="27">
        <f t="shared" si="30"/>
        <v>0</v>
      </c>
      <c r="S43" s="27">
        <f t="shared" si="30"/>
        <v>0</v>
      </c>
      <c r="T43" s="27">
        <f t="shared" si="30"/>
        <v>0</v>
      </c>
      <c r="U43" s="27">
        <f t="shared" si="30"/>
        <v>0</v>
      </c>
      <c r="V43" s="27">
        <f t="shared" si="30"/>
        <v>0</v>
      </c>
      <c r="W43" s="17"/>
      <c r="X43" s="17"/>
      <c r="Y43" s="17"/>
      <c r="Z43" s="17"/>
      <c r="AA43" s="17"/>
      <c r="AB43" s="17"/>
      <c r="AC43" s="17"/>
      <c r="AD43" s="17"/>
      <c r="AE43" s="17"/>
      <c r="AF43" s="17"/>
      <c r="AG43" s="17"/>
      <c r="AH43" s="17"/>
      <c r="AI43" s="17"/>
      <c r="AJ43" s="17"/>
      <c r="AK43" s="17"/>
      <c r="AL43" s="17"/>
      <c r="AM43" s="17"/>
      <c r="AN43" s="17"/>
    </row>
    <row r="44" spans="2:40" ht="15.75" customHeight="1" x14ac:dyDescent="0.2">
      <c r="B44" s="17"/>
      <c r="C44" s="17"/>
      <c r="D44" s="17"/>
      <c r="E44" s="17"/>
      <c r="F44" s="17"/>
      <c r="G44" s="17"/>
      <c r="H44" s="17"/>
      <c r="I44" s="17"/>
      <c r="J44" s="17"/>
      <c r="K44" s="17"/>
      <c r="L44" s="22"/>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row>
    <row r="45" spans="2:40" ht="15.75" customHeight="1" x14ac:dyDescent="0.2">
      <c r="B45" s="23" t="s">
        <v>75</v>
      </c>
      <c r="C45" s="17"/>
      <c r="D45" s="17"/>
      <c r="E45" s="17"/>
      <c r="F45" s="17"/>
      <c r="G45" s="17"/>
      <c r="H45" s="17"/>
      <c r="I45" s="17"/>
      <c r="J45" s="17"/>
      <c r="K45" s="17"/>
      <c r="L45" s="22"/>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row>
    <row r="46" spans="2:40" ht="15.75" customHeight="1" x14ac:dyDescent="0.2">
      <c r="B46" s="14" t="s">
        <v>76</v>
      </c>
      <c r="C46" s="27">
        <f>'16''-25'' 10Ks'!C104</f>
        <v>66912</v>
      </c>
      <c r="D46" s="27">
        <f>'16''-25'' 10Ks'!D104</f>
        <v>72289</v>
      </c>
      <c r="E46" s="27">
        <f>'16''-25'' 10Ks'!E104</f>
        <v>70334</v>
      </c>
      <c r="F46" s="27">
        <f>'16''-25'' 10Ks'!F104</f>
        <v>82010</v>
      </c>
      <c r="G46" s="27">
        <f>'16''-25'' 10Ks'!G104</f>
        <v>91803</v>
      </c>
      <c r="H46" s="27">
        <f>'16''-25'' 10Ks'!H104</f>
        <v>99348</v>
      </c>
      <c r="I46" s="27">
        <f>'16''-25'' 10Ks'!I104</f>
        <v>111059</v>
      </c>
      <c r="J46" s="27">
        <f>'16''-25'' 10Ks'!J104</f>
        <v>125776</v>
      </c>
      <c r="K46" s="27">
        <f>'16''-25'' 10Ks'!K104</f>
        <v>138852</v>
      </c>
      <c r="L46" s="28">
        <f>'16''-25'' 10Ks'!L104</f>
        <v>156197</v>
      </c>
      <c r="M46" s="27">
        <f t="shared" ref="M46:V46" si="31">M62</f>
        <v>177636.68598799998</v>
      </c>
      <c r="N46" s="27">
        <f t="shared" si="31"/>
        <v>200676.05774250397</v>
      </c>
      <c r="O46" s="27">
        <f t="shared" si="31"/>
        <v>224688.64708863801</v>
      </c>
      <c r="P46" s="27">
        <f t="shared" si="31"/>
        <v>249689.09902639547</v>
      </c>
      <c r="Q46" s="27">
        <f t="shared" si="31"/>
        <v>275235.5698279707</v>
      </c>
      <c r="R46" s="27">
        <f t="shared" si="31"/>
        <v>301452.48901745514</v>
      </c>
      <c r="S46" s="27">
        <f t="shared" si="31"/>
        <v>327461.98504030233</v>
      </c>
      <c r="T46" s="27">
        <f t="shared" si="31"/>
        <v>352101.01272864948</v>
      </c>
      <c r="U46" s="27">
        <f t="shared" si="31"/>
        <v>375263.12906292308</v>
      </c>
      <c r="V46" s="27">
        <f t="shared" si="31"/>
        <v>397269.44360841607</v>
      </c>
      <c r="W46" s="17"/>
      <c r="X46" s="17"/>
      <c r="Y46" s="17"/>
      <c r="Z46" s="17"/>
      <c r="AA46" s="17"/>
      <c r="AB46" s="17"/>
      <c r="AC46" s="17"/>
      <c r="AD46" s="17"/>
      <c r="AE46" s="17"/>
      <c r="AF46" s="17"/>
      <c r="AG46" s="17"/>
      <c r="AH46" s="17"/>
      <c r="AI46" s="17"/>
      <c r="AJ46" s="17"/>
      <c r="AK46" s="17"/>
      <c r="AL46" s="17"/>
      <c r="AM46" s="17"/>
      <c r="AN46" s="17"/>
    </row>
    <row r="47" spans="2:40" ht="15.75" customHeight="1" x14ac:dyDescent="0.2">
      <c r="B47" s="14" t="s">
        <v>77</v>
      </c>
      <c r="C47" s="27">
        <f>'16''-25'' 10Ks'!C94</f>
        <v>1292</v>
      </c>
      <c r="D47" s="27">
        <f>'16''-25'' 10Ks'!D94</f>
        <v>1714</v>
      </c>
      <c r="E47" s="27">
        <f>'16''-25'' 10Ks'!E94</f>
        <v>638</v>
      </c>
      <c r="F47" s="27">
        <f>'16''-25'' 10Ks'!F94</f>
        <v>600</v>
      </c>
      <c r="G47" s="27">
        <f>'16''-25'' 10Ks'!G94</f>
        <v>1105</v>
      </c>
      <c r="H47" s="27">
        <f>'16''-25'' 10Ks'!H94</f>
        <v>639</v>
      </c>
      <c r="I47" s="27">
        <f>'16''-25'' 10Ks'!I94</f>
        <v>1601</v>
      </c>
      <c r="J47" s="27">
        <f>'16''-25'' 10Ks'!J94</f>
        <v>2690</v>
      </c>
      <c r="K47" s="27">
        <f>'16''-25'' 10Ks'!K94</f>
        <v>1487</v>
      </c>
      <c r="L47" s="28">
        <f>'16''-25'' 10Ks'!L94</f>
        <v>2812</v>
      </c>
      <c r="M47" s="27">
        <f t="shared" ref="M47:V47" si="32">L47+M43</f>
        <v>2000.035055999997</v>
      </c>
      <c r="N47" s="27">
        <f t="shared" si="32"/>
        <v>2000.035055999997</v>
      </c>
      <c r="O47" s="27">
        <f t="shared" si="32"/>
        <v>2000.035055999997</v>
      </c>
      <c r="P47" s="27">
        <f t="shared" si="32"/>
        <v>2000.035055999997</v>
      </c>
      <c r="Q47" s="27">
        <f t="shared" si="32"/>
        <v>2000.035055999997</v>
      </c>
      <c r="R47" s="27">
        <f t="shared" si="32"/>
        <v>2000.035055999997</v>
      </c>
      <c r="S47" s="27">
        <f t="shared" si="32"/>
        <v>2000.035055999997</v>
      </c>
      <c r="T47" s="27">
        <f t="shared" si="32"/>
        <v>2000.035055999997</v>
      </c>
      <c r="U47" s="27">
        <f t="shared" si="32"/>
        <v>2000.035055999997</v>
      </c>
      <c r="V47" s="27">
        <f t="shared" si="32"/>
        <v>2000.035055999997</v>
      </c>
      <c r="W47" s="17"/>
      <c r="X47" s="17"/>
      <c r="Y47" s="17"/>
      <c r="Z47" s="17"/>
      <c r="AA47" s="17"/>
      <c r="AB47" s="17"/>
      <c r="AC47" s="17"/>
      <c r="AD47" s="17"/>
      <c r="AE47" s="17"/>
      <c r="AF47" s="17"/>
      <c r="AG47" s="17"/>
      <c r="AH47" s="17"/>
      <c r="AI47" s="17"/>
      <c r="AJ47" s="17"/>
      <c r="AK47" s="17"/>
      <c r="AL47" s="17"/>
      <c r="AM47" s="17"/>
      <c r="AN47" s="17"/>
    </row>
    <row r="48" spans="2:40" ht="15.75" customHeight="1" x14ac:dyDescent="0.2">
      <c r="B48" s="14" t="s">
        <v>78</v>
      </c>
      <c r="C48" s="27">
        <f>'16''-25'' 10Ks'!C113-'16''-25'' 10Ks'!C104-'16''-25'' 10Ks'!C94</f>
        <v>21789</v>
      </c>
      <c r="D48" s="27">
        <f>'16''-25'' 10Ks'!D113-'16''-25'' 10Ks'!D104-'16''-25'' 10Ks'!D94</f>
        <v>23960</v>
      </c>
      <c r="E48" s="27">
        <f>'16''-25'' 10Ks'!E113-'16''-25'' 10Ks'!E104-'16''-25'' 10Ks'!E94</f>
        <v>32730</v>
      </c>
      <c r="F48" s="27">
        <f>'16''-25'' 10Ks'!F113-'16''-25'' 10Ks'!F104-'16''-25'' 10Ks'!F94</f>
        <v>35081</v>
      </c>
      <c r="G48" s="27">
        <f>'16''-25'' 10Ks'!G113-'16''-25'' 10Ks'!G104-'16''-25'' 10Ks'!G94</f>
        <v>34776</v>
      </c>
      <c r="H48" s="27">
        <f>'16''-25'' 10Ks'!H113-'16''-25'' 10Ks'!H104-'16''-25'' 10Ks'!H94</f>
        <v>40925</v>
      </c>
      <c r="I48" s="27">
        <f>'16''-25'' 10Ks'!I113-'16''-25'' 10Ks'!I104-'16''-25'' 10Ks'!I94</f>
        <v>46275</v>
      </c>
      <c r="J48" s="27">
        <f>'16''-25'' 10Ks'!J113-'16''-25'' 10Ks'!J104-'16''-25'' 10Ks'!J94</f>
        <v>49023</v>
      </c>
      <c r="K48" s="27">
        <f>'16''-25'' 10Ks'!K113-'16''-25'' 10Ks'!K104-'16''-25'' 10Ks'!K94</f>
        <v>49805</v>
      </c>
      <c r="L48" s="28">
        <f>'16''-25'' 10Ks'!L113-'16''-25'' 10Ks'!L104-'16''-25'' 10Ks'!L94</f>
        <v>53712</v>
      </c>
      <c r="M48" s="27">
        <f>M18*L48/L18</f>
        <v>59083.200000000004</v>
      </c>
      <c r="N48" s="27">
        <f>N18*L48/L18</f>
        <v>64991.520000000011</v>
      </c>
      <c r="O48" s="27">
        <f>O18*L48/L18</f>
        <v>71360.688959999999</v>
      </c>
      <c r="P48" s="27">
        <f>P18*L48/L18</f>
        <v>78139.9544112</v>
      </c>
      <c r="Q48" s="27">
        <f>Q18*L48/L18</f>
        <v>85406.970171441601</v>
      </c>
      <c r="R48" s="27">
        <f>R18*L48/L18</f>
        <v>93264.411427214232</v>
      </c>
      <c r="S48" s="27">
        <f>S18*L48/L18</f>
        <v>101751.47286709074</v>
      </c>
      <c r="T48" s="27">
        <f>T18*L48/L18</f>
        <v>110909.1054251289</v>
      </c>
      <c r="U48" s="27">
        <f>U18*L48/L18</f>
        <v>120890.92491339053</v>
      </c>
      <c r="V48" s="27">
        <f>V18*L48/L18</f>
        <v>131771.10815559566</v>
      </c>
      <c r="W48" s="17"/>
      <c r="X48" s="17"/>
      <c r="Y48" s="17"/>
      <c r="Z48" s="17"/>
      <c r="AA48" s="17"/>
      <c r="AB48" s="17"/>
      <c r="AC48" s="17"/>
      <c r="AD48" s="17"/>
      <c r="AE48" s="17"/>
      <c r="AF48" s="17"/>
      <c r="AG48" s="17"/>
      <c r="AH48" s="17"/>
      <c r="AI48" s="17"/>
      <c r="AJ48" s="17"/>
      <c r="AK48" s="17"/>
      <c r="AL48" s="17"/>
      <c r="AM48" s="17"/>
      <c r="AN48" s="17"/>
    </row>
    <row r="49" spans="2:40" ht="15.75" customHeight="1" x14ac:dyDescent="0.2">
      <c r="B49" s="29" t="s">
        <v>79</v>
      </c>
      <c r="C49" s="30">
        <f t="shared" ref="C49:V49" si="33">C46+C47+C48</f>
        <v>89993</v>
      </c>
      <c r="D49" s="30">
        <f t="shared" si="33"/>
        <v>97963</v>
      </c>
      <c r="E49" s="30">
        <f t="shared" si="33"/>
        <v>103702</v>
      </c>
      <c r="F49" s="30">
        <f t="shared" si="33"/>
        <v>117691</v>
      </c>
      <c r="G49" s="30">
        <f t="shared" si="33"/>
        <v>127684</v>
      </c>
      <c r="H49" s="30">
        <f t="shared" si="33"/>
        <v>140912</v>
      </c>
      <c r="I49" s="30">
        <f t="shared" si="33"/>
        <v>158935</v>
      </c>
      <c r="J49" s="30">
        <f t="shared" si="33"/>
        <v>177489</v>
      </c>
      <c r="K49" s="30">
        <f t="shared" si="33"/>
        <v>190144</v>
      </c>
      <c r="L49" s="31">
        <f t="shared" si="33"/>
        <v>212721</v>
      </c>
      <c r="M49" s="30">
        <f t="shared" si="33"/>
        <v>238719.92104399999</v>
      </c>
      <c r="N49" s="30">
        <f t="shared" si="33"/>
        <v>267667.61279850395</v>
      </c>
      <c r="O49" s="30">
        <f t="shared" si="33"/>
        <v>298049.37110463798</v>
      </c>
      <c r="P49" s="30">
        <f t="shared" si="33"/>
        <v>329829.08849359548</v>
      </c>
      <c r="Q49" s="30">
        <f t="shared" si="33"/>
        <v>362642.57505541231</v>
      </c>
      <c r="R49" s="30">
        <f t="shared" si="33"/>
        <v>396716.93550066935</v>
      </c>
      <c r="S49" s="30">
        <f t="shared" si="33"/>
        <v>431213.49296339304</v>
      </c>
      <c r="T49" s="30">
        <f t="shared" si="33"/>
        <v>465010.15320977836</v>
      </c>
      <c r="U49" s="30">
        <f t="shared" si="33"/>
        <v>498154.08903231361</v>
      </c>
      <c r="V49" s="30">
        <f t="shared" si="33"/>
        <v>531040.58682001173</v>
      </c>
      <c r="W49" s="17"/>
      <c r="X49" s="17"/>
      <c r="Y49" s="17"/>
      <c r="Z49" s="17"/>
      <c r="AA49" s="17"/>
      <c r="AB49" s="17"/>
      <c r="AC49" s="17"/>
      <c r="AD49" s="17"/>
      <c r="AE49" s="17"/>
      <c r="AF49" s="17"/>
      <c r="AG49" s="17"/>
      <c r="AH49" s="17"/>
      <c r="AI49" s="17"/>
      <c r="AJ49" s="17"/>
      <c r="AK49" s="17"/>
      <c r="AL49" s="17"/>
      <c r="AM49" s="17"/>
      <c r="AN49" s="17"/>
    </row>
    <row r="50" spans="2:40" ht="15.75" customHeight="1" x14ac:dyDescent="0.2">
      <c r="B50" s="17"/>
      <c r="C50" s="17"/>
      <c r="D50" s="17"/>
      <c r="E50" s="17"/>
      <c r="F50" s="17"/>
      <c r="G50" s="17"/>
      <c r="H50" s="17"/>
      <c r="I50" s="17"/>
      <c r="J50" s="17"/>
      <c r="K50" s="17"/>
      <c r="L50" s="22"/>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row>
    <row r="51" spans="2:40" ht="15.75" customHeight="1" x14ac:dyDescent="0.2">
      <c r="B51" s="14" t="s">
        <v>80</v>
      </c>
      <c r="C51" s="27">
        <f>'16''-25'' 10Ks'!C188</f>
        <v>30840</v>
      </c>
      <c r="D51" s="27">
        <f>'16''-25'' 10Ks'!D188</f>
        <v>35025</v>
      </c>
      <c r="E51" s="27">
        <f>'16''-25'' 10Ks'!E188</f>
        <v>37712</v>
      </c>
      <c r="F51" s="27">
        <f>'16''-25'' 10Ks'!F188</f>
        <v>42583</v>
      </c>
      <c r="G51" s="27">
        <f>'16''-25'' 10Ks'!G188</f>
        <v>48091</v>
      </c>
      <c r="H51" s="27">
        <f>'16''-25'' 10Ks'!H188</f>
        <v>54827</v>
      </c>
      <c r="I51" s="27">
        <f>'16''-25'' 10Ks'!I188</f>
        <v>64966</v>
      </c>
      <c r="J51" s="27">
        <f>'16''-25'' 10Ks'!J188</f>
        <v>73211</v>
      </c>
      <c r="K51" s="27">
        <f>'16''-25'' 10Ks'!K188</f>
        <v>82333</v>
      </c>
      <c r="L51" s="28">
        <f>'16''-25'' 10Ks'!L188</f>
        <v>95619</v>
      </c>
      <c r="M51" s="27">
        <f t="shared" ref="M51:V51" si="34">M71+M72</f>
        <v>111991.55</v>
      </c>
      <c r="N51" s="27">
        <f t="shared" si="34"/>
        <v>122990.7014944</v>
      </c>
      <c r="O51" s="27">
        <f t="shared" si="34"/>
        <v>134847.78680536323</v>
      </c>
      <c r="P51" s="27">
        <f t="shared" si="34"/>
        <v>147468.32322155271</v>
      </c>
      <c r="Q51" s="27">
        <f t="shared" si="34"/>
        <v>160996.87402094912</v>
      </c>
      <c r="R51" s="27">
        <f t="shared" si="34"/>
        <v>175624.58320572443</v>
      </c>
      <c r="S51" s="27">
        <f t="shared" si="34"/>
        <v>191424.41708734937</v>
      </c>
      <c r="T51" s="27">
        <f t="shared" si="34"/>
        <v>208472.61147017081</v>
      </c>
      <c r="U51" s="27">
        <f t="shared" si="34"/>
        <v>227055.14334744617</v>
      </c>
      <c r="V51" s="27">
        <f t="shared" si="34"/>
        <v>247310.10309367641</v>
      </c>
      <c r="W51" s="17"/>
      <c r="X51" s="17"/>
      <c r="Y51" s="17"/>
      <c r="Z51" s="17"/>
      <c r="AA51" s="17"/>
      <c r="AB51" s="17"/>
      <c r="AC51" s="17"/>
      <c r="AD51" s="17"/>
      <c r="AE51" s="17"/>
      <c r="AF51" s="17"/>
      <c r="AG51" s="17"/>
      <c r="AH51" s="17"/>
      <c r="AI51" s="17"/>
      <c r="AJ51" s="17"/>
      <c r="AK51" s="17"/>
      <c r="AL51" s="17"/>
      <c r="AM51" s="17"/>
      <c r="AN51" s="17"/>
    </row>
    <row r="52" spans="2:40" ht="15.75" customHeight="1" x14ac:dyDescent="0.2">
      <c r="B52" s="14" t="s">
        <v>81</v>
      </c>
      <c r="C52" s="27">
        <f t="shared" ref="C52:L52" si="35">C49-C51-C53-C54</f>
        <v>33822</v>
      </c>
      <c r="D52" s="27">
        <f t="shared" si="35"/>
        <v>33407</v>
      </c>
      <c r="E52" s="27">
        <f t="shared" si="35"/>
        <v>28577</v>
      </c>
      <c r="F52" s="27">
        <f t="shared" si="35"/>
        <v>33748</v>
      </c>
      <c r="G52" s="27">
        <f t="shared" si="35"/>
        <v>34664</v>
      </c>
      <c r="H52" s="27">
        <f t="shared" si="35"/>
        <v>40661</v>
      </c>
      <c r="I52" s="27">
        <f t="shared" si="35"/>
        <v>45643</v>
      </c>
      <c r="J52" s="27">
        <f t="shared" si="35"/>
        <v>46510</v>
      </c>
      <c r="K52" s="27">
        <f t="shared" si="35"/>
        <v>47351</v>
      </c>
      <c r="L52" s="28">
        <f t="shared" si="35"/>
        <v>50623</v>
      </c>
      <c r="M52" s="27">
        <f>M18*L52/L18</f>
        <v>55685.3</v>
      </c>
      <c r="N52" s="27">
        <f>N18*L52/L18</f>
        <v>61253.830000000009</v>
      </c>
      <c r="O52" s="27">
        <f>O18*L52/L18</f>
        <v>67256.705340000015</v>
      </c>
      <c r="P52" s="27">
        <f>P18*L52/L18</f>
        <v>73646.0923473</v>
      </c>
      <c r="Q52" s="27">
        <f>Q18*L52/L18</f>
        <v>80495.178935598902</v>
      </c>
      <c r="R52" s="27">
        <f>R18*L52/L18</f>
        <v>87900.735397673998</v>
      </c>
      <c r="S52" s="27">
        <f>S18*L52/L18</f>
        <v>95899.702318862343</v>
      </c>
      <c r="T52" s="27">
        <f>T18*L52/L18</f>
        <v>104530.67552755997</v>
      </c>
      <c r="U52" s="27">
        <f>U18*L52/L18</f>
        <v>113938.43632504037</v>
      </c>
      <c r="V52" s="27">
        <f>V18*L52/L18</f>
        <v>124192.89559429399</v>
      </c>
      <c r="W52" s="17"/>
      <c r="X52" s="17"/>
      <c r="Y52" s="17"/>
      <c r="Z52" s="17"/>
      <c r="AA52" s="17"/>
      <c r="AB52" s="17"/>
      <c r="AC52" s="17"/>
      <c r="AD52" s="17"/>
      <c r="AE52" s="17"/>
      <c r="AF52" s="17"/>
      <c r="AG52" s="17"/>
      <c r="AH52" s="17"/>
      <c r="AI52" s="17"/>
      <c r="AJ52" s="17"/>
      <c r="AK52" s="17"/>
      <c r="AL52" s="17"/>
      <c r="AM52" s="17"/>
      <c r="AN52" s="17"/>
    </row>
    <row r="53" spans="2:40" ht="15.75" customHeight="1" x14ac:dyDescent="0.2">
      <c r="B53" s="14" t="s">
        <v>82</v>
      </c>
      <c r="C53" s="27">
        <f>'16''-25'' 10Ks'!C142</f>
        <v>24341</v>
      </c>
      <c r="D53" s="27">
        <f>'16''-25'' 10Ks'!D142</f>
        <v>28236</v>
      </c>
      <c r="E53" s="27">
        <f>'16''-25'' 10Ks'!E142</f>
        <v>34144</v>
      </c>
      <c r="F53" s="27">
        <f>'16''-25'' 10Ks'!F142</f>
        <v>37005</v>
      </c>
      <c r="G53" s="27">
        <f>'16''-25'' 10Ks'!G142</f>
        <v>36513</v>
      </c>
      <c r="H53" s="27">
        <f>'16''-25'' 10Ks'!H142</f>
        <v>37202</v>
      </c>
      <c r="I53" s="27">
        <f>'16''-25'' 10Ks'!I142</f>
        <v>39229</v>
      </c>
      <c r="J53" s="27">
        <f>'16''-25'' 10Ks'!J142</f>
        <v>47468</v>
      </c>
      <c r="K53" s="27">
        <f>'16''-25'' 10Ks'!K142</f>
        <v>50101</v>
      </c>
      <c r="L53" s="28">
        <f>'16''-25'' 10Ks'!L142</f>
        <v>54608</v>
      </c>
      <c r="M53" s="27">
        <f>L53+M30+M41+2000</f>
        <v>59172.071044000004</v>
      </c>
      <c r="N53" s="27">
        <f t="shared" ref="N53:V53" si="36">M53+N30+N41+3000</f>
        <v>64267.532264608715</v>
      </c>
      <c r="O53" s="27">
        <f t="shared" si="36"/>
        <v>69112.131285534109</v>
      </c>
      <c r="P53" s="27">
        <f t="shared" si="36"/>
        <v>73824.289434682505</v>
      </c>
      <c r="Q53" s="27">
        <f t="shared" si="36"/>
        <v>78309.883819543058</v>
      </c>
      <c r="R53" s="27">
        <f t="shared" si="36"/>
        <v>82986.309677090336</v>
      </c>
      <c r="S53" s="27">
        <f t="shared" si="36"/>
        <v>87959.016552848363</v>
      </c>
      <c r="T53" s="27">
        <f t="shared" si="36"/>
        <v>93377.287604952318</v>
      </c>
      <c r="U53" s="27">
        <f t="shared" si="36"/>
        <v>99474.445291318014</v>
      </c>
      <c r="V53" s="27">
        <f t="shared" si="36"/>
        <v>106497.4307591195</v>
      </c>
      <c r="W53" s="17"/>
      <c r="X53" s="17"/>
      <c r="Y53" s="17"/>
      <c r="Z53" s="17"/>
      <c r="AA53" s="17"/>
      <c r="AB53" s="17"/>
      <c r="AC53" s="17"/>
      <c r="AD53" s="17"/>
      <c r="AE53" s="17"/>
      <c r="AF53" s="17"/>
      <c r="AG53" s="17"/>
      <c r="AH53" s="17"/>
      <c r="AI53" s="17"/>
      <c r="AJ53" s="17"/>
      <c r="AK53" s="17"/>
      <c r="AL53" s="17"/>
      <c r="AM53" s="17"/>
      <c r="AN53" s="17"/>
    </row>
    <row r="54" spans="2:40" ht="15.75" customHeight="1" x14ac:dyDescent="0.2">
      <c r="B54" s="14" t="s">
        <v>83</v>
      </c>
      <c r="C54" s="27">
        <f>'16''-25'' 10Ks'!C144-'16''-25'' 10Ks'!C142</f>
        <v>990</v>
      </c>
      <c r="D54" s="27">
        <f>'16''-25'' 10Ks'!D144-'16''-25'' 10Ks'!D142</f>
        <v>1295</v>
      </c>
      <c r="E54" s="27">
        <f>'16''-25'' 10Ks'!E144-'16''-25'' 10Ks'!E142</f>
        <v>3269</v>
      </c>
      <c r="F54" s="27">
        <f>'16''-25'' 10Ks'!F144-'16''-25'' 10Ks'!F142</f>
        <v>4355</v>
      </c>
      <c r="G54" s="27">
        <f>'16''-25'' 10Ks'!G144-'16''-25'' 10Ks'!G142</f>
        <v>8416</v>
      </c>
      <c r="H54" s="27">
        <f>'16''-25'' 10Ks'!H144-'16''-25'' 10Ks'!H142</f>
        <v>8222</v>
      </c>
      <c r="I54" s="27">
        <f>'16''-25'' 10Ks'!I144-'16''-25'' 10Ks'!I142</f>
        <v>9097</v>
      </c>
      <c r="J54" s="27">
        <f>'16''-25'' 10Ks'!J144-'16''-25'' 10Ks'!J142</f>
        <v>10300</v>
      </c>
      <c r="K54" s="27">
        <f>'16''-25'' 10Ks'!K144-'16''-25'' 10Ks'!K142</f>
        <v>10359</v>
      </c>
      <c r="L54" s="28">
        <f>'16''-25'' 10Ks'!L144-'16''-25'' 10Ks'!L142</f>
        <v>11871</v>
      </c>
      <c r="M54" s="27">
        <f>L54+M40-2000</f>
        <v>11871</v>
      </c>
      <c r="N54" s="27">
        <f t="shared" ref="N54:V54" si="37">M54+(N40-3000)</f>
        <v>19155.549039495294</v>
      </c>
      <c r="O54" s="27">
        <f t="shared" si="37"/>
        <v>26832.747673740691</v>
      </c>
      <c r="P54" s="27">
        <f t="shared" si="37"/>
        <v>34890.383490060303</v>
      </c>
      <c r="Q54" s="27">
        <f t="shared" si="37"/>
        <v>42840.638279321225</v>
      </c>
      <c r="R54" s="27">
        <f t="shared" si="37"/>
        <v>50205.307220180628</v>
      </c>
      <c r="S54" s="27">
        <f t="shared" si="37"/>
        <v>55930.357004332996</v>
      </c>
      <c r="T54" s="27">
        <f t="shared" si="37"/>
        <v>58629.578607095267</v>
      </c>
      <c r="U54" s="27">
        <f t="shared" si="37"/>
        <v>57686.06406850904</v>
      </c>
      <c r="V54" s="27">
        <f t="shared" si="37"/>
        <v>53040.157372921807</v>
      </c>
      <c r="W54" s="17"/>
      <c r="X54" s="17"/>
      <c r="Y54" s="17"/>
      <c r="Z54" s="17"/>
      <c r="AA54" s="17"/>
      <c r="AB54" s="17"/>
      <c r="AC54" s="17"/>
      <c r="AD54" s="17"/>
      <c r="AE54" s="17"/>
      <c r="AF54" s="17"/>
      <c r="AG54" s="17"/>
      <c r="AH54" s="17"/>
      <c r="AI54" s="17"/>
      <c r="AJ54" s="17"/>
      <c r="AK54" s="17"/>
      <c r="AL54" s="17"/>
      <c r="AM54" s="17"/>
      <c r="AN54" s="17"/>
    </row>
    <row r="55" spans="2:40" ht="15.75" customHeight="1" x14ac:dyDescent="0.2">
      <c r="B55" s="29" t="s">
        <v>84</v>
      </c>
      <c r="C55" s="30">
        <f t="shared" ref="C55:V55" si="38">C51+C52+C53+C54</f>
        <v>89993</v>
      </c>
      <c r="D55" s="30">
        <f t="shared" si="38"/>
        <v>97963</v>
      </c>
      <c r="E55" s="30">
        <f t="shared" si="38"/>
        <v>103702</v>
      </c>
      <c r="F55" s="30">
        <f t="shared" si="38"/>
        <v>117691</v>
      </c>
      <c r="G55" s="30">
        <f t="shared" si="38"/>
        <v>127684</v>
      </c>
      <c r="H55" s="30">
        <f t="shared" si="38"/>
        <v>140912</v>
      </c>
      <c r="I55" s="30">
        <f t="shared" si="38"/>
        <v>158935</v>
      </c>
      <c r="J55" s="30">
        <f t="shared" si="38"/>
        <v>177489</v>
      </c>
      <c r="K55" s="30">
        <f t="shared" si="38"/>
        <v>190144</v>
      </c>
      <c r="L55" s="31">
        <f t="shared" si="38"/>
        <v>212721</v>
      </c>
      <c r="M55" s="30">
        <f t="shared" si="38"/>
        <v>238719.92104400002</v>
      </c>
      <c r="N55" s="30">
        <f t="shared" si="38"/>
        <v>267667.61279850401</v>
      </c>
      <c r="O55" s="30">
        <f t="shared" si="38"/>
        <v>298049.37110463803</v>
      </c>
      <c r="P55" s="30">
        <f t="shared" si="38"/>
        <v>329829.08849359548</v>
      </c>
      <c r="Q55" s="30">
        <f t="shared" si="38"/>
        <v>362642.57505541237</v>
      </c>
      <c r="R55" s="30">
        <f t="shared" si="38"/>
        <v>396716.93550066935</v>
      </c>
      <c r="S55" s="30">
        <f t="shared" si="38"/>
        <v>431213.49296339304</v>
      </c>
      <c r="T55" s="30">
        <f t="shared" si="38"/>
        <v>465010.15320977836</v>
      </c>
      <c r="U55" s="30">
        <f t="shared" si="38"/>
        <v>498154.08903231355</v>
      </c>
      <c r="V55" s="30">
        <f t="shared" si="38"/>
        <v>531040.58682001173</v>
      </c>
      <c r="W55" s="17"/>
      <c r="X55" s="17"/>
      <c r="Y55" s="17"/>
      <c r="Z55" s="17"/>
      <c r="AA55" s="17"/>
      <c r="AB55" s="17"/>
      <c r="AC55" s="17"/>
      <c r="AD55" s="17"/>
      <c r="AE55" s="17"/>
      <c r="AF55" s="17"/>
      <c r="AG55" s="17"/>
      <c r="AH55" s="17"/>
      <c r="AI55" s="17"/>
      <c r="AJ55" s="17"/>
      <c r="AK55" s="17"/>
      <c r="AL55" s="17"/>
      <c r="AM55" s="17"/>
      <c r="AN55" s="17"/>
    </row>
    <row r="56" spans="2:40" ht="15.75" customHeight="1" x14ac:dyDescent="0.2">
      <c r="B56" s="14"/>
      <c r="C56" s="27"/>
      <c r="D56" s="27"/>
      <c r="E56" s="27"/>
      <c r="F56" s="27"/>
      <c r="G56" s="27"/>
      <c r="H56" s="27"/>
      <c r="I56" s="27"/>
      <c r="J56" s="27"/>
      <c r="K56" s="27"/>
      <c r="L56" s="28"/>
      <c r="M56" s="27"/>
      <c r="N56" s="27"/>
      <c r="O56" s="27"/>
      <c r="P56" s="27"/>
      <c r="Q56" s="27"/>
      <c r="R56" s="27"/>
      <c r="S56" s="27"/>
      <c r="T56" s="27"/>
      <c r="U56" s="27"/>
      <c r="V56" s="27"/>
      <c r="W56" s="17"/>
      <c r="X56" s="17"/>
      <c r="Y56" s="17"/>
      <c r="Z56" s="17"/>
      <c r="AA56" s="17"/>
      <c r="AB56" s="17"/>
      <c r="AC56" s="17"/>
      <c r="AD56" s="17"/>
      <c r="AE56" s="17"/>
      <c r="AF56" s="17"/>
      <c r="AG56" s="17"/>
      <c r="AH56" s="17"/>
      <c r="AI56" s="17"/>
      <c r="AJ56" s="17"/>
      <c r="AK56" s="17"/>
      <c r="AL56" s="17"/>
      <c r="AM56" s="17"/>
      <c r="AN56" s="17"/>
    </row>
    <row r="57" spans="2:40" ht="15.75" customHeight="1" x14ac:dyDescent="0.2">
      <c r="B57" s="17"/>
      <c r="C57" s="17"/>
      <c r="D57" s="17"/>
      <c r="E57" s="17"/>
      <c r="F57" s="17"/>
      <c r="G57" s="17"/>
      <c r="H57" s="17"/>
      <c r="I57" s="17"/>
      <c r="J57" s="17"/>
      <c r="K57" s="17"/>
      <c r="L57" s="22"/>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row>
    <row r="58" spans="2:40" ht="15.75" customHeight="1" x14ac:dyDescent="0.2">
      <c r="B58" s="23" t="s">
        <v>85</v>
      </c>
      <c r="C58" s="17"/>
      <c r="D58" s="17"/>
      <c r="E58" s="17"/>
      <c r="F58" s="17"/>
      <c r="G58" s="17"/>
      <c r="H58" s="17"/>
      <c r="I58" s="17"/>
      <c r="J58" s="17"/>
      <c r="K58" s="17"/>
      <c r="L58" s="22"/>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row>
    <row r="59" spans="2:40" ht="15.75" customHeight="1" x14ac:dyDescent="0.2">
      <c r="B59" s="14" t="s">
        <v>86</v>
      </c>
      <c r="C59" s="27"/>
      <c r="D59" s="27">
        <f t="shared" ref="D59:V59" si="39">C46</f>
        <v>66912</v>
      </c>
      <c r="E59" s="27">
        <f t="shared" si="39"/>
        <v>72289</v>
      </c>
      <c r="F59" s="27">
        <f t="shared" si="39"/>
        <v>70334</v>
      </c>
      <c r="G59" s="27">
        <f t="shared" si="39"/>
        <v>82010</v>
      </c>
      <c r="H59" s="27">
        <f t="shared" si="39"/>
        <v>91803</v>
      </c>
      <c r="I59" s="27">
        <f t="shared" si="39"/>
        <v>99348</v>
      </c>
      <c r="J59" s="27">
        <f t="shared" si="39"/>
        <v>111059</v>
      </c>
      <c r="K59" s="27">
        <f t="shared" si="39"/>
        <v>125776</v>
      </c>
      <c r="L59" s="28">
        <f t="shared" si="39"/>
        <v>138852</v>
      </c>
      <c r="M59" s="27">
        <f t="shared" si="39"/>
        <v>156197</v>
      </c>
      <c r="N59" s="27">
        <f t="shared" si="39"/>
        <v>177636.68598799998</v>
      </c>
      <c r="O59" s="27">
        <f t="shared" si="39"/>
        <v>200676.05774250397</v>
      </c>
      <c r="P59" s="27">
        <f t="shared" si="39"/>
        <v>224688.64708863801</v>
      </c>
      <c r="Q59" s="27">
        <f t="shared" si="39"/>
        <v>249689.09902639547</v>
      </c>
      <c r="R59" s="27">
        <f t="shared" si="39"/>
        <v>275235.5698279707</v>
      </c>
      <c r="S59" s="27">
        <f t="shared" si="39"/>
        <v>301452.48901745514</v>
      </c>
      <c r="T59" s="27">
        <f t="shared" si="39"/>
        <v>327461.98504030233</v>
      </c>
      <c r="U59" s="27">
        <f t="shared" si="39"/>
        <v>352101.01272864948</v>
      </c>
      <c r="V59" s="27">
        <f t="shared" si="39"/>
        <v>375263.12906292308</v>
      </c>
      <c r="W59" s="17"/>
      <c r="X59" s="17"/>
      <c r="Y59" s="17"/>
      <c r="Z59" s="17"/>
      <c r="AA59" s="17"/>
      <c r="AB59" s="17"/>
      <c r="AC59" s="17"/>
      <c r="AD59" s="17"/>
      <c r="AE59" s="17"/>
      <c r="AF59" s="17"/>
      <c r="AG59" s="17"/>
      <c r="AH59" s="17"/>
      <c r="AI59" s="17"/>
      <c r="AJ59" s="17"/>
      <c r="AK59" s="17"/>
      <c r="AL59" s="17"/>
      <c r="AM59" s="17"/>
      <c r="AN59" s="17"/>
    </row>
    <row r="60" spans="2:40" ht="15.75" customHeight="1" x14ac:dyDescent="0.2">
      <c r="B60" s="14" t="s">
        <v>87</v>
      </c>
      <c r="C60" s="27">
        <f>'16''-25'' 10Ks'!C154</f>
        <v>9636</v>
      </c>
      <c r="D60" s="27">
        <f>'16''-25'' 10Ks'!D154</f>
        <v>10740</v>
      </c>
      <c r="E60" s="27">
        <f>'16''-25'' 10Ks'!E154</f>
        <v>13004</v>
      </c>
      <c r="F60" s="27">
        <f>'16''-25'' 10Ks'!F154</f>
        <v>17462</v>
      </c>
      <c r="G60" s="27">
        <f>'16''-25'' 10Ks'!G154</f>
        <v>14610</v>
      </c>
      <c r="H60" s="27">
        <f>'16''-25'' 10Ks'!H154</f>
        <v>16077</v>
      </c>
      <c r="I60" s="27">
        <f>'16''-25'' 10Ks'!I154</f>
        <v>19283</v>
      </c>
      <c r="J60" s="27">
        <f>'16''-25'' 10Ks'!J154</f>
        <v>25113</v>
      </c>
      <c r="K60" s="27">
        <f>'16''-25'' 10Ks'!K154</f>
        <v>24729</v>
      </c>
      <c r="L60" s="28">
        <f>'16''-25'' 10Ks'!L154</f>
        <v>24606</v>
      </c>
      <c r="M60" s="27">
        <f t="shared" ref="M60:V60" si="40">M13*M18</f>
        <v>27999.959988000002</v>
      </c>
      <c r="N60" s="27">
        <f t="shared" si="40"/>
        <v>30500.112566000003</v>
      </c>
      <c r="O60" s="27">
        <f t="shared" si="40"/>
        <v>32440.983771319203</v>
      </c>
      <c r="P60" s="27">
        <f t="shared" si="40"/>
        <v>34437.375115480267</v>
      </c>
      <c r="Q60" s="27">
        <f t="shared" si="40"/>
        <v>36033.412960683803</v>
      </c>
      <c r="R60" s="27">
        <f t="shared" si="40"/>
        <v>37776.813122259206</v>
      </c>
      <c r="S60" s="27">
        <f t="shared" si="40"/>
        <v>38670.500561580287</v>
      </c>
      <c r="T60" s="27">
        <f t="shared" si="40"/>
        <v>38392.431060039831</v>
      </c>
      <c r="U60" s="27">
        <f t="shared" si="40"/>
        <v>37950.358868876872</v>
      </c>
      <c r="V60" s="27">
        <f t="shared" si="40"/>
        <v>37767.365966135752</v>
      </c>
      <c r="W60" s="17"/>
      <c r="X60" s="17"/>
      <c r="Y60" s="17"/>
      <c r="Z60" s="17"/>
      <c r="AA60" s="17"/>
      <c r="AB60" s="17"/>
      <c r="AC60" s="17"/>
      <c r="AD60" s="17"/>
      <c r="AE60" s="17"/>
      <c r="AF60" s="17"/>
      <c r="AG60" s="17"/>
      <c r="AH60" s="17"/>
      <c r="AI60" s="17"/>
      <c r="AJ60" s="17"/>
      <c r="AK60" s="17"/>
      <c r="AL60" s="17"/>
      <c r="AM60" s="17"/>
      <c r="AN60" s="17"/>
    </row>
    <row r="61" spans="2:40" ht="15.75" customHeight="1" x14ac:dyDescent="0.2">
      <c r="B61" s="14" t="s">
        <v>88</v>
      </c>
      <c r="C61" s="27">
        <f>'16''-25'' 10Ks'!C13</f>
        <v>3120</v>
      </c>
      <c r="D61" s="27">
        <f>'16''-25'' 10Ks'!D13</f>
        <v>2357</v>
      </c>
      <c r="E61" s="27">
        <f>'16''-25'' 10Ks'!E13</f>
        <v>3911</v>
      </c>
      <c r="F61" s="27">
        <f>'16''-25'' 10Ks'!F13</f>
        <v>4216</v>
      </c>
      <c r="G61" s="27">
        <f>'16''-25'' 10Ks'!G13</f>
        <v>4052</v>
      </c>
      <c r="H61" s="27">
        <f>'16''-25'' 10Ks'!H13</f>
        <v>3924</v>
      </c>
      <c r="I61" s="27">
        <f>'16''-25'' 10Ks'!I13</f>
        <v>4503</v>
      </c>
      <c r="J61" s="27">
        <f>'16''-25'' 10Ks'!J13</f>
        <v>5879</v>
      </c>
      <c r="K61" s="27">
        <f>'16''-25'' 10Ks'!K13</f>
        <v>5462</v>
      </c>
      <c r="L61" s="28">
        <f>'16''-25'' 10Ks'!L13</f>
        <v>6580</v>
      </c>
      <c r="M61" s="27">
        <f t="shared" ref="M61:V61" si="41">M11*M59</f>
        <v>6560.2740000000003</v>
      </c>
      <c r="N61" s="27">
        <f t="shared" si="41"/>
        <v>7460.7408114959999</v>
      </c>
      <c r="O61" s="27">
        <f t="shared" si="41"/>
        <v>8428.3944251851663</v>
      </c>
      <c r="P61" s="27">
        <f t="shared" si="41"/>
        <v>9436.9231777227978</v>
      </c>
      <c r="Q61" s="27">
        <f t="shared" si="41"/>
        <v>10486.94215910861</v>
      </c>
      <c r="R61" s="27">
        <f t="shared" si="41"/>
        <v>11559.89393277477</v>
      </c>
      <c r="S61" s="27">
        <f t="shared" si="41"/>
        <v>12661.004538733117</v>
      </c>
      <c r="T61" s="27">
        <f t="shared" si="41"/>
        <v>13753.403371692699</v>
      </c>
      <c r="U61" s="27">
        <f t="shared" si="41"/>
        <v>14788.24253460328</v>
      </c>
      <c r="V61" s="27">
        <f t="shared" si="41"/>
        <v>15761.051420642771</v>
      </c>
      <c r="W61" s="17"/>
      <c r="X61" s="17"/>
      <c r="Y61" s="17"/>
      <c r="Z61" s="17"/>
      <c r="AA61" s="17"/>
      <c r="AB61" s="17"/>
      <c r="AC61" s="17"/>
      <c r="AD61" s="17"/>
      <c r="AE61" s="17"/>
      <c r="AF61" s="17"/>
      <c r="AG61" s="17"/>
      <c r="AH61" s="17"/>
      <c r="AI61" s="17"/>
      <c r="AJ61" s="17"/>
      <c r="AK61" s="17"/>
      <c r="AL61" s="17"/>
      <c r="AM61" s="17"/>
      <c r="AN61" s="17"/>
    </row>
    <row r="62" spans="2:40" ht="15.75" customHeight="1" x14ac:dyDescent="0.2">
      <c r="B62" s="29" t="s">
        <v>89</v>
      </c>
      <c r="C62" s="30">
        <f>'16''-25'' 10Ks'!C104</f>
        <v>66912</v>
      </c>
      <c r="D62" s="30">
        <f>'16''-25'' 10Ks'!D104</f>
        <v>72289</v>
      </c>
      <c r="E62" s="30">
        <f>'16''-25'' 10Ks'!E104</f>
        <v>70334</v>
      </c>
      <c r="F62" s="30">
        <f>'16''-25'' 10Ks'!F104</f>
        <v>82010</v>
      </c>
      <c r="G62" s="30">
        <f>'16''-25'' 10Ks'!G104</f>
        <v>91803</v>
      </c>
      <c r="H62" s="30">
        <f>'16''-25'' 10Ks'!H104</f>
        <v>99348</v>
      </c>
      <c r="I62" s="30">
        <f>'16''-25'' 10Ks'!I104</f>
        <v>111059</v>
      </c>
      <c r="J62" s="30">
        <f>'16''-25'' 10Ks'!J104</f>
        <v>125776</v>
      </c>
      <c r="K62" s="30">
        <f>'16''-25'' 10Ks'!K104</f>
        <v>138852</v>
      </c>
      <c r="L62" s="31">
        <f>'16''-25'' 10Ks'!L104</f>
        <v>156197</v>
      </c>
      <c r="M62" s="30">
        <f t="shared" ref="M62:V62" si="42">M59+M60-M61</f>
        <v>177636.68598799998</v>
      </c>
      <c r="N62" s="30">
        <f t="shared" si="42"/>
        <v>200676.05774250397</v>
      </c>
      <c r="O62" s="30">
        <f t="shared" si="42"/>
        <v>224688.64708863801</v>
      </c>
      <c r="P62" s="30">
        <f t="shared" si="42"/>
        <v>249689.09902639547</v>
      </c>
      <c r="Q62" s="30">
        <f t="shared" si="42"/>
        <v>275235.5698279707</v>
      </c>
      <c r="R62" s="30">
        <f t="shared" si="42"/>
        <v>301452.48901745514</v>
      </c>
      <c r="S62" s="30">
        <f t="shared" si="42"/>
        <v>327461.98504030233</v>
      </c>
      <c r="T62" s="30">
        <f t="shared" si="42"/>
        <v>352101.01272864948</v>
      </c>
      <c r="U62" s="30">
        <f t="shared" si="42"/>
        <v>375263.12906292308</v>
      </c>
      <c r="V62" s="30">
        <f t="shared" si="42"/>
        <v>397269.44360841607</v>
      </c>
      <c r="W62" s="17"/>
      <c r="X62" s="17"/>
      <c r="Y62" s="17"/>
      <c r="Z62" s="17"/>
      <c r="AA62" s="17"/>
      <c r="AB62" s="17"/>
      <c r="AC62" s="17"/>
      <c r="AD62" s="17"/>
      <c r="AE62" s="17"/>
      <c r="AF62" s="17"/>
      <c r="AG62" s="17"/>
      <c r="AH62" s="17"/>
      <c r="AI62" s="17"/>
      <c r="AJ62" s="17"/>
      <c r="AK62" s="17"/>
      <c r="AL62" s="17"/>
      <c r="AM62" s="17"/>
      <c r="AN62" s="17"/>
    </row>
    <row r="63" spans="2:40" ht="15.75" customHeight="1" x14ac:dyDescent="0.2">
      <c r="B63" s="17"/>
      <c r="C63" s="17"/>
      <c r="D63" s="17"/>
      <c r="E63" s="17"/>
      <c r="F63" s="17"/>
      <c r="G63" s="17"/>
      <c r="H63" s="17"/>
      <c r="I63" s="17"/>
      <c r="J63" s="17"/>
      <c r="K63" s="17"/>
      <c r="L63" s="22"/>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row>
    <row r="64" spans="2:40" ht="15.75" customHeight="1" x14ac:dyDescent="0.2">
      <c r="B64" s="23" t="s">
        <v>90</v>
      </c>
      <c r="C64" s="17"/>
      <c r="D64" s="17"/>
      <c r="E64" s="17"/>
      <c r="F64" s="17"/>
      <c r="G64" s="17"/>
      <c r="H64" s="17"/>
      <c r="I64" s="17"/>
      <c r="J64" s="17"/>
      <c r="K64" s="17"/>
      <c r="L64" s="22"/>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row>
    <row r="65" spans="2:40" ht="15.75" customHeight="1" x14ac:dyDescent="0.2">
      <c r="B65" s="14" t="s">
        <v>91</v>
      </c>
      <c r="C65" s="27">
        <f t="shared" ref="C65:V65" si="43">C48</f>
        <v>21789</v>
      </c>
      <c r="D65" s="27">
        <f t="shared" si="43"/>
        <v>23960</v>
      </c>
      <c r="E65" s="27">
        <f t="shared" si="43"/>
        <v>32730</v>
      </c>
      <c r="F65" s="27">
        <f t="shared" si="43"/>
        <v>35081</v>
      </c>
      <c r="G65" s="27">
        <f t="shared" si="43"/>
        <v>34776</v>
      </c>
      <c r="H65" s="27">
        <f t="shared" si="43"/>
        <v>40925</v>
      </c>
      <c r="I65" s="27">
        <f t="shared" si="43"/>
        <v>46275</v>
      </c>
      <c r="J65" s="27">
        <f t="shared" si="43"/>
        <v>49023</v>
      </c>
      <c r="K65" s="27">
        <f t="shared" si="43"/>
        <v>49805</v>
      </c>
      <c r="L65" s="28">
        <f t="shared" si="43"/>
        <v>53712</v>
      </c>
      <c r="M65" s="27">
        <f t="shared" si="43"/>
        <v>59083.200000000004</v>
      </c>
      <c r="N65" s="27">
        <f t="shared" si="43"/>
        <v>64991.520000000011</v>
      </c>
      <c r="O65" s="27">
        <f t="shared" si="43"/>
        <v>71360.688959999999</v>
      </c>
      <c r="P65" s="27">
        <f t="shared" si="43"/>
        <v>78139.9544112</v>
      </c>
      <c r="Q65" s="27">
        <f t="shared" si="43"/>
        <v>85406.970171441601</v>
      </c>
      <c r="R65" s="27">
        <f t="shared" si="43"/>
        <v>93264.411427214232</v>
      </c>
      <c r="S65" s="27">
        <f t="shared" si="43"/>
        <v>101751.47286709074</v>
      </c>
      <c r="T65" s="27">
        <f t="shared" si="43"/>
        <v>110909.1054251289</v>
      </c>
      <c r="U65" s="27">
        <f t="shared" si="43"/>
        <v>120890.92491339053</v>
      </c>
      <c r="V65" s="27">
        <f t="shared" si="43"/>
        <v>131771.10815559566</v>
      </c>
      <c r="W65" s="17"/>
      <c r="X65" s="17"/>
      <c r="Y65" s="17"/>
      <c r="Z65" s="17"/>
      <c r="AA65" s="17"/>
      <c r="AB65" s="17"/>
      <c r="AC65" s="17"/>
      <c r="AD65" s="17"/>
      <c r="AE65" s="17"/>
      <c r="AF65" s="17"/>
      <c r="AG65" s="17"/>
      <c r="AH65" s="17"/>
      <c r="AI65" s="17"/>
      <c r="AJ65" s="17"/>
      <c r="AK65" s="17"/>
      <c r="AL65" s="17"/>
      <c r="AM65" s="17"/>
      <c r="AN65" s="17"/>
    </row>
    <row r="66" spans="2:40" ht="15.75" customHeight="1" x14ac:dyDescent="0.2">
      <c r="B66" s="14" t="s">
        <v>92</v>
      </c>
      <c r="C66" s="27">
        <f t="shared" ref="C66:V66" si="44">C52</f>
        <v>33822</v>
      </c>
      <c r="D66" s="27">
        <f t="shared" si="44"/>
        <v>33407</v>
      </c>
      <c r="E66" s="27">
        <f t="shared" si="44"/>
        <v>28577</v>
      </c>
      <c r="F66" s="27">
        <f t="shared" si="44"/>
        <v>33748</v>
      </c>
      <c r="G66" s="27">
        <f t="shared" si="44"/>
        <v>34664</v>
      </c>
      <c r="H66" s="27">
        <f t="shared" si="44"/>
        <v>40661</v>
      </c>
      <c r="I66" s="27">
        <f t="shared" si="44"/>
        <v>45643</v>
      </c>
      <c r="J66" s="27">
        <f t="shared" si="44"/>
        <v>46510</v>
      </c>
      <c r="K66" s="27">
        <f t="shared" si="44"/>
        <v>47351</v>
      </c>
      <c r="L66" s="28">
        <f t="shared" si="44"/>
        <v>50623</v>
      </c>
      <c r="M66" s="27">
        <f t="shared" si="44"/>
        <v>55685.3</v>
      </c>
      <c r="N66" s="27">
        <f t="shared" si="44"/>
        <v>61253.830000000009</v>
      </c>
      <c r="O66" s="27">
        <f t="shared" si="44"/>
        <v>67256.705340000015</v>
      </c>
      <c r="P66" s="27">
        <f t="shared" si="44"/>
        <v>73646.0923473</v>
      </c>
      <c r="Q66" s="27">
        <f t="shared" si="44"/>
        <v>80495.178935598902</v>
      </c>
      <c r="R66" s="27">
        <f t="shared" si="44"/>
        <v>87900.735397673998</v>
      </c>
      <c r="S66" s="27">
        <f t="shared" si="44"/>
        <v>95899.702318862343</v>
      </c>
      <c r="T66" s="27">
        <f t="shared" si="44"/>
        <v>104530.67552755997</v>
      </c>
      <c r="U66" s="27">
        <f t="shared" si="44"/>
        <v>113938.43632504037</v>
      </c>
      <c r="V66" s="27">
        <f t="shared" si="44"/>
        <v>124192.89559429399</v>
      </c>
      <c r="W66" s="17"/>
      <c r="X66" s="17"/>
      <c r="Y66" s="17"/>
      <c r="Z66" s="17"/>
      <c r="AA66" s="17"/>
      <c r="AB66" s="17"/>
      <c r="AC66" s="17"/>
      <c r="AD66" s="17"/>
      <c r="AE66" s="17"/>
      <c r="AF66" s="17"/>
      <c r="AG66" s="17"/>
      <c r="AH66" s="17"/>
      <c r="AI66" s="17"/>
      <c r="AJ66" s="17"/>
      <c r="AK66" s="17"/>
      <c r="AL66" s="17"/>
      <c r="AM66" s="17"/>
      <c r="AN66" s="17"/>
    </row>
    <row r="67" spans="2:40" ht="15.75" customHeight="1" x14ac:dyDescent="0.2">
      <c r="B67" s="29" t="s">
        <v>93</v>
      </c>
      <c r="C67" s="30">
        <f t="shared" ref="C67:V67" si="45">C65-C66</f>
        <v>-12033</v>
      </c>
      <c r="D67" s="30">
        <f t="shared" si="45"/>
        <v>-9447</v>
      </c>
      <c r="E67" s="30">
        <f t="shared" si="45"/>
        <v>4153</v>
      </c>
      <c r="F67" s="30">
        <f t="shared" si="45"/>
        <v>1333</v>
      </c>
      <c r="G67" s="30">
        <f t="shared" si="45"/>
        <v>112</v>
      </c>
      <c r="H67" s="30">
        <f t="shared" si="45"/>
        <v>264</v>
      </c>
      <c r="I67" s="30">
        <f t="shared" si="45"/>
        <v>632</v>
      </c>
      <c r="J67" s="30">
        <f t="shared" si="45"/>
        <v>2513</v>
      </c>
      <c r="K67" s="30">
        <f t="shared" si="45"/>
        <v>2454</v>
      </c>
      <c r="L67" s="31">
        <f t="shared" si="45"/>
        <v>3089</v>
      </c>
      <c r="M67" s="30">
        <f t="shared" si="45"/>
        <v>3397.9000000000015</v>
      </c>
      <c r="N67" s="30">
        <f t="shared" si="45"/>
        <v>3737.6900000000023</v>
      </c>
      <c r="O67" s="30">
        <f t="shared" si="45"/>
        <v>4103.9836199999845</v>
      </c>
      <c r="P67" s="30">
        <f t="shared" si="45"/>
        <v>4493.8620639000001</v>
      </c>
      <c r="Q67" s="30">
        <f t="shared" si="45"/>
        <v>4911.7912358426984</v>
      </c>
      <c r="R67" s="30">
        <f t="shared" si="45"/>
        <v>5363.6760295402346</v>
      </c>
      <c r="S67" s="30">
        <f t="shared" si="45"/>
        <v>5851.7705482283927</v>
      </c>
      <c r="T67" s="30">
        <f t="shared" si="45"/>
        <v>6378.4298975689308</v>
      </c>
      <c r="U67" s="30">
        <f t="shared" si="45"/>
        <v>6952.4885883501556</v>
      </c>
      <c r="V67" s="30">
        <f t="shared" si="45"/>
        <v>7578.2125613016688</v>
      </c>
      <c r="W67" s="17"/>
      <c r="X67" s="17"/>
      <c r="Y67" s="17"/>
      <c r="Z67" s="17"/>
      <c r="AA67" s="17"/>
      <c r="AB67" s="17"/>
      <c r="AC67" s="17"/>
      <c r="AD67" s="17"/>
      <c r="AE67" s="17"/>
      <c r="AF67" s="17"/>
      <c r="AG67" s="17"/>
      <c r="AH67" s="17"/>
      <c r="AI67" s="17"/>
      <c r="AJ67" s="17"/>
      <c r="AK67" s="17"/>
      <c r="AL67" s="17"/>
      <c r="AM67" s="17"/>
      <c r="AN67" s="17"/>
    </row>
    <row r="68" spans="2:40" ht="15.75" customHeight="1" x14ac:dyDescent="0.2">
      <c r="B68" s="14" t="s">
        <v>94</v>
      </c>
      <c r="C68" s="27"/>
      <c r="D68" s="27">
        <f t="shared" ref="D68:V68" si="46">C67-D67</f>
        <v>-2586</v>
      </c>
      <c r="E68" s="27">
        <f t="shared" si="46"/>
        <v>-13600</v>
      </c>
      <c r="F68" s="27">
        <f t="shared" si="46"/>
        <v>2820</v>
      </c>
      <c r="G68" s="27">
        <f t="shared" si="46"/>
        <v>1221</v>
      </c>
      <c r="H68" s="27">
        <f t="shared" si="46"/>
        <v>-152</v>
      </c>
      <c r="I68" s="27">
        <f t="shared" si="46"/>
        <v>-368</v>
      </c>
      <c r="J68" s="27">
        <f t="shared" si="46"/>
        <v>-1881</v>
      </c>
      <c r="K68" s="27">
        <f t="shared" si="46"/>
        <v>59</v>
      </c>
      <c r="L68" s="28">
        <f t="shared" si="46"/>
        <v>-635</v>
      </c>
      <c r="M68" s="27">
        <f t="shared" si="46"/>
        <v>-308.90000000000146</v>
      </c>
      <c r="N68" s="27">
        <f t="shared" si="46"/>
        <v>-339.79000000000087</v>
      </c>
      <c r="O68" s="27">
        <f t="shared" si="46"/>
        <v>-366.29361999998218</v>
      </c>
      <c r="P68" s="27">
        <f t="shared" si="46"/>
        <v>-389.87844390001555</v>
      </c>
      <c r="Q68" s="27">
        <f t="shared" si="46"/>
        <v>-417.9291719426983</v>
      </c>
      <c r="R68" s="27">
        <f t="shared" si="46"/>
        <v>-451.88479369753622</v>
      </c>
      <c r="S68" s="27">
        <f t="shared" si="46"/>
        <v>-488.09451868815813</v>
      </c>
      <c r="T68" s="27">
        <f t="shared" si="46"/>
        <v>-526.65934934053803</v>
      </c>
      <c r="U68" s="27">
        <f t="shared" si="46"/>
        <v>-574.05869078122487</v>
      </c>
      <c r="V68" s="27">
        <f t="shared" si="46"/>
        <v>-625.72397295151313</v>
      </c>
      <c r="W68" s="17"/>
      <c r="X68" s="17"/>
      <c r="Y68" s="17"/>
      <c r="Z68" s="17"/>
      <c r="AA68" s="17"/>
      <c r="AB68" s="17"/>
      <c r="AC68" s="17"/>
      <c r="AD68" s="17"/>
      <c r="AE68" s="17"/>
      <c r="AF68" s="17"/>
      <c r="AG68" s="17"/>
      <c r="AH68" s="17"/>
      <c r="AI68" s="17"/>
      <c r="AJ68" s="17"/>
      <c r="AK68" s="17"/>
      <c r="AL68" s="17"/>
      <c r="AM68" s="17"/>
      <c r="AN68" s="17"/>
    </row>
    <row r="69" spans="2:40" ht="15.75" customHeight="1" x14ac:dyDescent="0.2">
      <c r="B69" s="17"/>
      <c r="C69" s="17"/>
      <c r="D69" s="17"/>
      <c r="E69" s="17"/>
      <c r="F69" s="17"/>
      <c r="G69" s="17"/>
      <c r="H69" s="17"/>
      <c r="I69" s="17"/>
      <c r="J69" s="17"/>
      <c r="K69" s="17"/>
      <c r="L69" s="22"/>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row>
    <row r="70" spans="2:40" ht="15.75" customHeight="1" x14ac:dyDescent="0.2">
      <c r="B70" s="23" t="s">
        <v>95</v>
      </c>
      <c r="C70" s="17"/>
      <c r="D70" s="17"/>
      <c r="E70" s="17"/>
      <c r="F70" s="17"/>
      <c r="G70" s="17"/>
      <c r="H70" s="17"/>
      <c r="I70" s="17"/>
      <c r="J70" s="17"/>
      <c r="K70" s="17"/>
      <c r="L70" s="22"/>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row>
    <row r="71" spans="2:40" ht="15.75" customHeight="1" x14ac:dyDescent="0.2">
      <c r="B71" s="14" t="s">
        <v>96</v>
      </c>
      <c r="C71" s="27"/>
      <c r="D71" s="27">
        <f t="shared" ref="D71:V71" si="47">C51</f>
        <v>30840</v>
      </c>
      <c r="E71" s="27">
        <f t="shared" si="47"/>
        <v>35025</v>
      </c>
      <c r="F71" s="27">
        <f t="shared" si="47"/>
        <v>37712</v>
      </c>
      <c r="G71" s="27">
        <f t="shared" si="47"/>
        <v>42583</v>
      </c>
      <c r="H71" s="27">
        <f t="shared" si="47"/>
        <v>48091</v>
      </c>
      <c r="I71" s="27">
        <f t="shared" si="47"/>
        <v>54827</v>
      </c>
      <c r="J71" s="27">
        <f t="shared" si="47"/>
        <v>64966</v>
      </c>
      <c r="K71" s="27">
        <f t="shared" si="47"/>
        <v>73211</v>
      </c>
      <c r="L71" s="28">
        <f t="shared" si="47"/>
        <v>82333</v>
      </c>
      <c r="M71" s="27">
        <f t="shared" si="47"/>
        <v>95619</v>
      </c>
      <c r="N71" s="27">
        <f t="shared" si="47"/>
        <v>111991.55</v>
      </c>
      <c r="O71" s="27">
        <f t="shared" si="47"/>
        <v>122990.7014944</v>
      </c>
      <c r="P71" s="27">
        <f t="shared" si="47"/>
        <v>134847.78680536323</v>
      </c>
      <c r="Q71" s="27">
        <f t="shared" si="47"/>
        <v>147468.32322155271</v>
      </c>
      <c r="R71" s="27">
        <f t="shared" si="47"/>
        <v>160996.87402094912</v>
      </c>
      <c r="S71" s="27">
        <f t="shared" si="47"/>
        <v>175624.58320572443</v>
      </c>
      <c r="T71" s="27">
        <f t="shared" si="47"/>
        <v>191424.41708734937</v>
      </c>
      <c r="U71" s="27">
        <f t="shared" si="47"/>
        <v>208472.61147017081</v>
      </c>
      <c r="V71" s="27">
        <f t="shared" si="47"/>
        <v>227055.14334744617</v>
      </c>
      <c r="W71" s="17"/>
      <c r="X71" s="17"/>
      <c r="Y71" s="17"/>
      <c r="Z71" s="17"/>
      <c r="AA71" s="17"/>
      <c r="AB71" s="17"/>
      <c r="AC71" s="17"/>
      <c r="AD71" s="17"/>
      <c r="AE71" s="17"/>
      <c r="AF71" s="17"/>
      <c r="AG71" s="17"/>
      <c r="AH71" s="17"/>
      <c r="AI71" s="17"/>
      <c r="AJ71" s="17"/>
      <c r="AK71" s="17"/>
      <c r="AL71" s="17"/>
      <c r="AM71" s="17"/>
      <c r="AN71" s="17"/>
    </row>
    <row r="72" spans="2:40" ht="15.75" customHeight="1" x14ac:dyDescent="0.2">
      <c r="B72" s="14" t="s">
        <v>97</v>
      </c>
      <c r="C72" s="27"/>
      <c r="D72" s="27">
        <f t="shared" ref="D72:L72" si="48">D51-D71</f>
        <v>4185</v>
      </c>
      <c r="E72" s="27">
        <f t="shared" si="48"/>
        <v>2687</v>
      </c>
      <c r="F72" s="27">
        <f t="shared" si="48"/>
        <v>4871</v>
      </c>
      <c r="G72" s="27">
        <f t="shared" si="48"/>
        <v>5508</v>
      </c>
      <c r="H72" s="27">
        <f t="shared" si="48"/>
        <v>6736</v>
      </c>
      <c r="I72" s="27">
        <f t="shared" si="48"/>
        <v>10139</v>
      </c>
      <c r="J72" s="27">
        <f t="shared" si="48"/>
        <v>8245</v>
      </c>
      <c r="K72" s="27">
        <f t="shared" si="48"/>
        <v>9122</v>
      </c>
      <c r="L72" s="28">
        <f t="shared" si="48"/>
        <v>13286</v>
      </c>
      <c r="M72" s="40">
        <v>16372.55</v>
      </c>
      <c r="N72" s="40">
        <f t="shared" ref="N72:V72" si="49">(($M$51-$M$47)/$M$22)*N22+$M$47-N71</f>
        <v>10999.151494399994</v>
      </c>
      <c r="O72" s="40">
        <f t="shared" si="49"/>
        <v>11857.08531096323</v>
      </c>
      <c r="P72" s="40">
        <f t="shared" si="49"/>
        <v>12620.536416189483</v>
      </c>
      <c r="Q72" s="40">
        <f t="shared" si="49"/>
        <v>13528.550799396413</v>
      </c>
      <c r="R72" s="40">
        <f t="shared" si="49"/>
        <v>14627.709184775304</v>
      </c>
      <c r="S72" s="40">
        <f t="shared" si="49"/>
        <v>15799.833881624945</v>
      </c>
      <c r="T72" s="40">
        <f t="shared" si="49"/>
        <v>17048.194382821443</v>
      </c>
      <c r="U72" s="40">
        <f t="shared" si="49"/>
        <v>18582.531877275353</v>
      </c>
      <c r="V72" s="40">
        <f t="shared" si="49"/>
        <v>20254.959746230248</v>
      </c>
      <c r="W72" s="17"/>
      <c r="X72" s="17"/>
      <c r="Y72" s="17"/>
      <c r="Z72" s="17"/>
      <c r="AA72" s="17"/>
      <c r="AB72" s="17"/>
      <c r="AC72" s="17"/>
      <c r="AD72" s="17"/>
      <c r="AE72" s="17"/>
      <c r="AF72" s="17"/>
      <c r="AG72" s="17"/>
      <c r="AH72" s="17"/>
      <c r="AI72" s="17"/>
      <c r="AJ72" s="17"/>
      <c r="AK72" s="17"/>
      <c r="AL72" s="17"/>
      <c r="AM72" s="17"/>
      <c r="AN72" s="17"/>
    </row>
    <row r="73" spans="2:40" ht="15.75" customHeight="1" x14ac:dyDescent="0.2">
      <c r="B73" s="29" t="s">
        <v>98</v>
      </c>
      <c r="C73" s="30">
        <f t="shared" ref="C73:V73" si="50">C51</f>
        <v>30840</v>
      </c>
      <c r="D73" s="30">
        <f t="shared" si="50"/>
        <v>35025</v>
      </c>
      <c r="E73" s="30">
        <f t="shared" si="50"/>
        <v>37712</v>
      </c>
      <c r="F73" s="30">
        <f t="shared" si="50"/>
        <v>42583</v>
      </c>
      <c r="G73" s="30">
        <f t="shared" si="50"/>
        <v>48091</v>
      </c>
      <c r="H73" s="30">
        <f t="shared" si="50"/>
        <v>54827</v>
      </c>
      <c r="I73" s="30">
        <f t="shared" si="50"/>
        <v>64966</v>
      </c>
      <c r="J73" s="30">
        <f t="shared" si="50"/>
        <v>73211</v>
      </c>
      <c r="K73" s="30">
        <f t="shared" si="50"/>
        <v>82333</v>
      </c>
      <c r="L73" s="31">
        <f t="shared" si="50"/>
        <v>95619</v>
      </c>
      <c r="M73" s="30">
        <f t="shared" si="50"/>
        <v>111991.55</v>
      </c>
      <c r="N73" s="30">
        <f t="shared" si="50"/>
        <v>122990.7014944</v>
      </c>
      <c r="O73" s="30">
        <f t="shared" si="50"/>
        <v>134847.78680536323</v>
      </c>
      <c r="P73" s="30">
        <f t="shared" si="50"/>
        <v>147468.32322155271</v>
      </c>
      <c r="Q73" s="30">
        <f t="shared" si="50"/>
        <v>160996.87402094912</v>
      </c>
      <c r="R73" s="30">
        <f t="shared" si="50"/>
        <v>175624.58320572443</v>
      </c>
      <c r="S73" s="30">
        <f t="shared" si="50"/>
        <v>191424.41708734937</v>
      </c>
      <c r="T73" s="30">
        <f t="shared" si="50"/>
        <v>208472.61147017081</v>
      </c>
      <c r="U73" s="30">
        <f t="shared" si="50"/>
        <v>227055.14334744617</v>
      </c>
      <c r="V73" s="30">
        <f t="shared" si="50"/>
        <v>247310.10309367641</v>
      </c>
      <c r="W73" s="17"/>
      <c r="X73" s="17"/>
      <c r="Y73" s="17"/>
      <c r="Z73" s="17"/>
      <c r="AA73" s="17"/>
      <c r="AB73" s="17"/>
      <c r="AC73" s="17"/>
      <c r="AD73" s="17"/>
      <c r="AE73" s="17"/>
      <c r="AF73" s="17"/>
      <c r="AG73" s="17"/>
      <c r="AH73" s="17"/>
      <c r="AI73" s="17"/>
      <c r="AJ73" s="17"/>
      <c r="AK73" s="17"/>
      <c r="AL73" s="17"/>
      <c r="AM73" s="17"/>
      <c r="AN73" s="17"/>
    </row>
    <row r="74" spans="2:40" ht="15.75" customHeight="1" x14ac:dyDescent="0.2">
      <c r="B74" s="14" t="s">
        <v>99</v>
      </c>
      <c r="C74" s="24">
        <f t="shared" ref="C74:V74" si="51">C14</f>
        <v>3.9453467047763799E-2</v>
      </c>
      <c r="D74" s="24">
        <f t="shared" si="51"/>
        <v>3.6013057010551901E-2</v>
      </c>
      <c r="E74" s="24">
        <f t="shared" si="51"/>
        <v>3.32E-2</v>
      </c>
      <c r="F74" s="24">
        <f t="shared" si="51"/>
        <v>4.48E-2</v>
      </c>
      <c r="G74" s="24">
        <f t="shared" si="51"/>
        <v>3.1600000000000003E-2</v>
      </c>
      <c r="H74" s="24">
        <f t="shared" si="51"/>
        <v>2.57097883752113E-2</v>
      </c>
      <c r="I74" s="24">
        <f t="shared" si="51"/>
        <v>2.3E-2</v>
      </c>
      <c r="J74" s="24">
        <f t="shared" si="51"/>
        <v>3.5700000000000003E-2</v>
      </c>
      <c r="K74" s="24">
        <f t="shared" si="51"/>
        <v>3.5200000000000002E-2</v>
      </c>
      <c r="L74" s="25">
        <f t="shared" si="51"/>
        <v>3.9300000000000002E-2</v>
      </c>
      <c r="M74" s="24">
        <f t="shared" si="51"/>
        <v>4.2999999999999997E-2</v>
      </c>
      <c r="N74" s="24">
        <f t="shared" si="51"/>
        <v>4.4999999999999998E-2</v>
      </c>
      <c r="O74" s="24">
        <f t="shared" si="51"/>
        <v>4.7E-2</v>
      </c>
      <c r="P74" s="24">
        <f t="shared" si="51"/>
        <v>4.8000000000000001E-2</v>
      </c>
      <c r="Q74" s="24">
        <f t="shared" si="51"/>
        <v>0.05</v>
      </c>
      <c r="R74" s="24">
        <f t="shared" si="51"/>
        <v>0.05</v>
      </c>
      <c r="S74" s="24">
        <f t="shared" si="51"/>
        <v>0.05</v>
      </c>
      <c r="T74" s="24">
        <f t="shared" si="51"/>
        <v>0.05</v>
      </c>
      <c r="U74" s="24">
        <f t="shared" si="51"/>
        <v>0.05</v>
      </c>
      <c r="V74" s="24">
        <f t="shared" si="51"/>
        <v>0.05</v>
      </c>
      <c r="W74" s="17"/>
      <c r="X74" s="17"/>
      <c r="Y74" s="17"/>
      <c r="Z74" s="17"/>
      <c r="AA74" s="17"/>
      <c r="AB74" s="17"/>
      <c r="AC74" s="17"/>
      <c r="AD74" s="17"/>
      <c r="AE74" s="17"/>
      <c r="AF74" s="17"/>
      <c r="AG74" s="17"/>
      <c r="AH74" s="17"/>
      <c r="AI74" s="17"/>
      <c r="AJ74" s="17"/>
      <c r="AK74" s="17"/>
      <c r="AL74" s="17"/>
      <c r="AM74" s="17"/>
      <c r="AN74" s="17"/>
    </row>
    <row r="75" spans="2:40" ht="15.75" customHeight="1" x14ac:dyDescent="0.2">
      <c r="B75" s="14" t="s">
        <v>100</v>
      </c>
      <c r="C75" s="27"/>
      <c r="D75" s="27">
        <f t="shared" ref="D75:V75" si="52">-D14*D71</f>
        <v>-1110.6426782054207</v>
      </c>
      <c r="E75" s="27">
        <f t="shared" si="52"/>
        <v>-1162.83</v>
      </c>
      <c r="F75" s="27">
        <f t="shared" si="52"/>
        <v>-1689.4975999999999</v>
      </c>
      <c r="G75" s="27">
        <f t="shared" si="52"/>
        <v>-1345.6228000000001</v>
      </c>
      <c r="H75" s="27">
        <f t="shared" si="52"/>
        <v>-1236.4094327522866</v>
      </c>
      <c r="I75" s="27">
        <f t="shared" si="52"/>
        <v>-1261.021</v>
      </c>
      <c r="J75" s="27">
        <f t="shared" si="52"/>
        <v>-2319.2862</v>
      </c>
      <c r="K75" s="27">
        <f t="shared" si="52"/>
        <v>-2577.0272</v>
      </c>
      <c r="L75" s="28">
        <f t="shared" si="52"/>
        <v>-3235.6869000000002</v>
      </c>
      <c r="M75" s="27">
        <f t="shared" si="52"/>
        <v>-4111.6169999999993</v>
      </c>
      <c r="N75" s="27">
        <f t="shared" si="52"/>
        <v>-5039.6197499999998</v>
      </c>
      <c r="O75" s="27">
        <f t="shared" si="52"/>
        <v>-5780.5629702367996</v>
      </c>
      <c r="P75" s="27">
        <f t="shared" si="52"/>
        <v>-6472.6937666574349</v>
      </c>
      <c r="Q75" s="27">
        <f t="shared" si="52"/>
        <v>-7373.4161610776355</v>
      </c>
      <c r="R75" s="27">
        <f t="shared" si="52"/>
        <v>-8049.8437010474563</v>
      </c>
      <c r="S75" s="27">
        <f t="shared" si="52"/>
        <v>-8781.2291602862224</v>
      </c>
      <c r="T75" s="27">
        <f t="shared" si="52"/>
        <v>-9571.2208543674697</v>
      </c>
      <c r="U75" s="27">
        <f t="shared" si="52"/>
        <v>-10423.630573508541</v>
      </c>
      <c r="V75" s="27">
        <f t="shared" si="52"/>
        <v>-11352.757167372309</v>
      </c>
      <c r="W75" s="17"/>
      <c r="X75" s="17"/>
      <c r="Y75" s="17"/>
      <c r="Z75" s="17"/>
      <c r="AA75" s="17"/>
      <c r="AB75" s="17"/>
      <c r="AC75" s="17"/>
      <c r="AD75" s="17"/>
      <c r="AE75" s="17"/>
      <c r="AF75" s="17"/>
      <c r="AG75" s="17"/>
      <c r="AH75" s="17"/>
      <c r="AI75" s="17"/>
      <c r="AJ75" s="17"/>
      <c r="AK75" s="17"/>
      <c r="AL75" s="17"/>
      <c r="AM75" s="17"/>
      <c r="AN75" s="17"/>
    </row>
    <row r="76" spans="2:40" ht="15.75" customHeight="1" x14ac:dyDescent="0.2">
      <c r="B76" s="17"/>
      <c r="C76" s="17"/>
      <c r="D76" s="17"/>
      <c r="E76" s="17"/>
      <c r="F76" s="17"/>
      <c r="G76" s="17"/>
      <c r="H76" s="17"/>
      <c r="I76" s="17"/>
      <c r="J76" s="17"/>
      <c r="K76" s="17"/>
      <c r="L76" s="22"/>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row>
    <row r="77" spans="2:40" ht="15.75" customHeight="1" x14ac:dyDescent="0.2">
      <c r="B77" s="44" t="s">
        <v>101</v>
      </c>
      <c r="C77" s="45">
        <f t="shared" ref="C77:V77" si="53">C36+C37</f>
        <v>-3610</v>
      </c>
      <c r="D77" s="45">
        <f t="shared" si="53"/>
        <v>-5589</v>
      </c>
      <c r="E77" s="45">
        <f t="shared" si="53"/>
        <v>-16055</v>
      </c>
      <c r="F77" s="45">
        <f t="shared" si="53"/>
        <v>-6657</v>
      </c>
      <c r="G77" s="45">
        <f t="shared" si="53"/>
        <v>-6418</v>
      </c>
      <c r="H77" s="45">
        <f t="shared" si="53"/>
        <v>-8732</v>
      </c>
      <c r="I77" s="45">
        <f t="shared" si="53"/>
        <v>-11001</v>
      </c>
      <c r="J77" s="45">
        <f t="shared" si="53"/>
        <v>-13805</v>
      </c>
      <c r="K77" s="45">
        <f t="shared" si="53"/>
        <v>-12262</v>
      </c>
      <c r="L77" s="46">
        <f t="shared" si="53"/>
        <v>-11826</v>
      </c>
      <c r="M77" s="45">
        <f t="shared" si="53"/>
        <v>-14036.046944000002</v>
      </c>
      <c r="N77" s="45">
        <f t="shared" si="53"/>
        <v>-15826.324453895286</v>
      </c>
      <c r="O77" s="45">
        <f t="shared" si="53"/>
        <v>-16749.465300408625</v>
      </c>
      <c r="P77" s="45">
        <f t="shared" si="53"/>
        <v>-17571.056548927379</v>
      </c>
      <c r="Q77" s="45">
        <f t="shared" si="53"/>
        <v>-18057.609669919992</v>
      </c>
      <c r="R77" s="45">
        <f t="shared" si="53"/>
        <v>-18268.468685014028</v>
      </c>
      <c r="S77" s="45">
        <f t="shared" si="53"/>
        <v>-17512.806677701461</v>
      </c>
      <c r="T77" s="45">
        <f t="shared" si="53"/>
        <v>-15464.873170824936</v>
      </c>
      <c r="U77" s="45">
        <f t="shared" si="53"/>
        <v>-13106.787341710049</v>
      </c>
      <c r="V77" s="45">
        <f t="shared" si="53"/>
        <v>-10850.856153754561</v>
      </c>
      <c r="W77" s="17"/>
      <c r="X77" s="17"/>
      <c r="Y77" s="17"/>
      <c r="Z77" s="17"/>
      <c r="AA77" s="17"/>
      <c r="AB77" s="17"/>
      <c r="AC77" s="17"/>
      <c r="AD77" s="17"/>
      <c r="AE77" s="17"/>
      <c r="AF77" s="17"/>
      <c r="AG77" s="17"/>
      <c r="AH77" s="17"/>
      <c r="AI77" s="17"/>
      <c r="AJ77" s="17"/>
      <c r="AK77" s="17"/>
      <c r="AL77" s="17"/>
      <c r="AM77" s="17"/>
      <c r="AN77" s="17"/>
    </row>
    <row r="78" spans="2:40" ht="15.75" customHeight="1" x14ac:dyDescent="0.2">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row>
    <row r="79" spans="2:40" ht="15.75" customHeight="1" x14ac:dyDescent="0.2">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row>
    <row r="80" spans="2:40" ht="15.75" customHeight="1" x14ac:dyDescent="0.2">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row>
    <row r="81" spans="2:40" ht="15.75" customHeight="1" x14ac:dyDescent="0.2">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row>
    <row r="82" spans="2:40" ht="15.75" customHeight="1" x14ac:dyDescent="0.2">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row>
    <row r="83" spans="2:40" ht="15.75" customHeight="1" x14ac:dyDescent="0.2">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row>
    <row r="84" spans="2:40" ht="15.75" customHeight="1" x14ac:dyDescent="0.2">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row>
    <row r="85" spans="2:40" ht="15.75" customHeight="1" x14ac:dyDescent="0.2">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row>
    <row r="86" spans="2:40" ht="15.75" customHeight="1" x14ac:dyDescent="0.2">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row>
    <row r="87" spans="2:40" ht="15.75" customHeight="1" x14ac:dyDescent="0.2">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row>
    <row r="88" spans="2:40" ht="15.75" customHeight="1" x14ac:dyDescent="0.2">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row>
    <row r="89" spans="2:40" ht="15.75" customHeight="1" x14ac:dyDescent="0.2">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row>
    <row r="90" spans="2:40" ht="15.75" customHeight="1" x14ac:dyDescent="0.2">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row>
    <row r="91" spans="2:40" ht="15.75" customHeight="1" x14ac:dyDescent="0.2">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row>
    <row r="92" spans="2:40" ht="15.75" customHeight="1" x14ac:dyDescent="0.2">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row>
    <row r="93" spans="2:40" ht="15.75" customHeight="1" x14ac:dyDescent="0.2">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row>
    <row r="94" spans="2:40" ht="15.75" customHeight="1" x14ac:dyDescent="0.2">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row>
    <row r="95" spans="2:40" ht="15.75" customHeight="1" x14ac:dyDescent="0.2">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row>
    <row r="96" spans="2:40" ht="15.75" customHeight="1" x14ac:dyDescent="0.2">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row>
    <row r="97" spans="2:40" ht="15.75" customHeight="1" x14ac:dyDescent="0.2">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row>
    <row r="98" spans="2:40" ht="15.75" customHeight="1" x14ac:dyDescent="0.2">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row>
    <row r="99" spans="2:40" ht="15.75" customHeight="1" x14ac:dyDescent="0.2">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row>
    <row r="100" spans="2:40" ht="15.75" customHeight="1" x14ac:dyDescent="0.2">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row>
    <row r="101" spans="2:40" ht="15.75" customHeight="1" x14ac:dyDescent="0.2">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row>
    <row r="102" spans="2:40" ht="15.75" customHeight="1" x14ac:dyDescent="0.2">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row>
    <row r="103" spans="2:40" ht="15.75" customHeight="1" x14ac:dyDescent="0.2">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row>
    <row r="104" spans="2:40" ht="15.75" customHeight="1" x14ac:dyDescent="0.2">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row>
    <row r="105" spans="2:40" ht="15.75" customHeight="1" x14ac:dyDescent="0.2">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spans="2:40" ht="15.75" customHeight="1" x14ac:dyDescent="0.2">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row>
    <row r="107" spans="2:40" ht="15.75" customHeight="1" x14ac:dyDescent="0.2">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row>
    <row r="108" spans="2:40" ht="15.75" customHeight="1" x14ac:dyDescent="0.2">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row>
    <row r="109" spans="2:40" ht="15.75" customHeight="1" x14ac:dyDescent="0.2">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row>
    <row r="110" spans="2:40" ht="15.75" customHeight="1" x14ac:dyDescent="0.2">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row>
  </sheetData>
  <pageMargins left="0.75" right="0.75" top="1" bottom="1" header="0.511811023622047" footer="0.511811023622047"/>
  <pageSetup paperSize="9" orientation="portrait" horizontalDpi="300" verticalDpi="300"/>
  <ignoredErrors>
    <ignoredError sqref="C21:W31" formula="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1E5D"/>
  </sheetPr>
  <dimension ref="B1:M60"/>
  <sheetViews>
    <sheetView showGridLines="0" zoomScale="110" zoomScaleNormal="110" workbookViewId="0">
      <pane ySplit="3" topLeftCell="A4" activePane="bottomLeft" state="frozen"/>
      <selection pane="bottomLeft" activeCell="B3" sqref="B3"/>
    </sheetView>
  </sheetViews>
  <sheetFormatPr baseColWidth="10" defaultColWidth="8.85546875" defaultRowHeight="16" x14ac:dyDescent="0.2"/>
  <cols>
    <col min="1" max="1" width="1.7109375" customWidth="1"/>
    <col min="2" max="2" width="44" customWidth="1"/>
    <col min="3" max="12" width="9.5703125" customWidth="1"/>
    <col min="13" max="13" width="11" customWidth="1"/>
  </cols>
  <sheetData>
    <row r="1" spans="2:13" ht="9.75" customHeight="1" x14ac:dyDescent="0.2">
      <c r="B1" s="17"/>
      <c r="C1" s="47"/>
      <c r="D1" s="47"/>
      <c r="E1" s="47"/>
      <c r="F1" s="47"/>
      <c r="G1" s="47"/>
      <c r="H1" s="47"/>
      <c r="I1" s="47"/>
      <c r="J1" s="47"/>
      <c r="K1" s="47"/>
      <c r="L1" s="47"/>
      <c r="M1" s="17"/>
    </row>
    <row r="2" spans="2:13" ht="18" customHeight="1" x14ac:dyDescent="0.2">
      <c r="B2" s="1" t="s">
        <v>102</v>
      </c>
      <c r="C2" s="47"/>
      <c r="D2" s="47"/>
      <c r="E2" s="47"/>
      <c r="F2" s="47"/>
      <c r="G2" s="47"/>
      <c r="H2" s="47"/>
      <c r="I2" s="47"/>
      <c r="J2" s="47"/>
      <c r="K2" s="47"/>
      <c r="L2" s="47"/>
      <c r="M2" s="17"/>
    </row>
    <row r="3" spans="2:13" ht="15.75" customHeight="1" x14ac:dyDescent="0.2">
      <c r="B3" s="209" t="s">
        <v>445</v>
      </c>
      <c r="C3" s="47"/>
      <c r="D3" s="47"/>
      <c r="E3" s="47"/>
      <c r="F3" s="47"/>
      <c r="G3" s="47"/>
      <c r="H3" s="47"/>
      <c r="I3" s="47"/>
      <c r="J3" s="47"/>
      <c r="K3" s="47"/>
      <c r="L3" s="47"/>
      <c r="M3" s="17"/>
    </row>
    <row r="4" spans="2:13" ht="15.75" customHeight="1" x14ac:dyDescent="0.2">
      <c r="B4" s="17"/>
      <c r="C4" s="47"/>
      <c r="D4" s="47"/>
      <c r="E4" s="47"/>
      <c r="F4" s="47"/>
      <c r="G4" s="47"/>
      <c r="H4" s="47"/>
      <c r="I4" s="47"/>
      <c r="J4" s="47"/>
      <c r="K4" s="47"/>
      <c r="L4" s="47"/>
      <c r="M4" s="17"/>
    </row>
    <row r="5" spans="2:13" ht="15.75" customHeight="1" x14ac:dyDescent="0.2">
      <c r="B5" s="49" t="s">
        <v>103</v>
      </c>
      <c r="C5" s="50"/>
      <c r="D5" s="50"/>
      <c r="E5" s="47"/>
      <c r="F5" s="47"/>
      <c r="G5" s="47"/>
      <c r="H5" s="47"/>
      <c r="I5" s="47"/>
      <c r="J5" s="47"/>
      <c r="K5" s="47"/>
      <c r="L5" s="47"/>
      <c r="M5" s="17"/>
    </row>
    <row r="6" spans="2:13" ht="15.75" customHeight="1" x14ac:dyDescent="0.2">
      <c r="B6" s="14" t="s">
        <v>104</v>
      </c>
      <c r="C6" s="47"/>
      <c r="D6" s="51">
        <v>4.6519999999999999E-2</v>
      </c>
      <c r="E6" s="47"/>
      <c r="F6" s="47"/>
      <c r="G6" s="47"/>
      <c r="H6" s="47"/>
      <c r="I6" s="47"/>
      <c r="J6" s="47"/>
      <c r="K6" s="47"/>
      <c r="L6" s="47"/>
      <c r="M6" s="17"/>
    </row>
    <row r="7" spans="2:13" ht="15.75" customHeight="1" x14ac:dyDescent="0.2">
      <c r="B7" s="14" t="s">
        <v>105</v>
      </c>
      <c r="C7" s="47"/>
      <c r="D7" s="51">
        <v>4.4600000000000001E-2</v>
      </c>
      <c r="E7" s="47"/>
      <c r="F7" s="47"/>
      <c r="G7" s="47"/>
      <c r="H7" s="47"/>
      <c r="I7" s="47"/>
      <c r="J7" s="47"/>
      <c r="K7" s="47"/>
      <c r="L7" s="47"/>
      <c r="M7" s="17"/>
    </row>
    <row r="8" spans="2:13" ht="15.75" customHeight="1" x14ac:dyDescent="0.2">
      <c r="B8" s="14" t="s">
        <v>106</v>
      </c>
      <c r="C8" s="47"/>
      <c r="D8" s="52">
        <f>'DDM Assumptions'!D54</f>
        <v>0.42672130964384142</v>
      </c>
      <c r="E8" s="47"/>
      <c r="F8" s="47"/>
      <c r="G8" s="47"/>
      <c r="H8" s="47"/>
      <c r="I8" s="47"/>
      <c r="J8" s="47"/>
      <c r="K8" s="47"/>
      <c r="L8" s="47"/>
      <c r="M8" s="17"/>
    </row>
    <row r="9" spans="2:13" ht="15.75" customHeight="1" x14ac:dyDescent="0.2">
      <c r="B9" s="53" t="s">
        <v>107</v>
      </c>
      <c r="C9" s="47"/>
      <c r="D9" s="54">
        <f>D6+D8*D7</f>
        <v>6.5551770410115326E-2</v>
      </c>
      <c r="E9" s="47"/>
      <c r="F9" s="47"/>
      <c r="G9" s="47"/>
      <c r="H9" s="47"/>
      <c r="I9" s="47"/>
      <c r="J9" s="47"/>
      <c r="K9" s="47"/>
      <c r="L9" s="47"/>
      <c r="M9" s="17"/>
    </row>
    <row r="10" spans="2:13" ht="15.75" customHeight="1" x14ac:dyDescent="0.2">
      <c r="B10" s="14"/>
      <c r="C10" s="47"/>
      <c r="D10" s="55"/>
      <c r="E10" s="47"/>
      <c r="F10" s="47"/>
      <c r="G10" s="47"/>
      <c r="H10" s="47"/>
      <c r="I10" s="47"/>
      <c r="J10" s="47"/>
      <c r="K10" s="47"/>
      <c r="L10" s="47"/>
      <c r="M10" s="17"/>
    </row>
    <row r="11" spans="2:13" ht="15.75" customHeight="1" x14ac:dyDescent="0.2">
      <c r="B11" s="49" t="s">
        <v>108</v>
      </c>
      <c r="C11" s="50"/>
      <c r="D11" s="56"/>
      <c r="E11" s="47"/>
      <c r="F11" s="47"/>
      <c r="G11" s="47"/>
      <c r="H11" s="47"/>
      <c r="I11" s="47"/>
      <c r="J11" s="47"/>
      <c r="K11" s="47"/>
      <c r="L11" s="47"/>
      <c r="M11" s="17"/>
    </row>
    <row r="12" spans="2:13" ht="15.75" customHeight="1" x14ac:dyDescent="0.2">
      <c r="B12" s="14" t="s">
        <v>109</v>
      </c>
      <c r="C12" s="47"/>
      <c r="D12" s="57">
        <v>2.27</v>
      </c>
      <c r="E12" s="47"/>
      <c r="F12" s="47"/>
      <c r="G12" s="47"/>
      <c r="H12" s="47"/>
      <c r="I12" s="47"/>
      <c r="J12" s="47"/>
      <c r="K12" s="47"/>
      <c r="L12" s="47"/>
      <c r="M12" s="17"/>
    </row>
    <row r="13" spans="2:13" ht="15.75" customHeight="1" x14ac:dyDescent="0.2">
      <c r="B13" s="14" t="s">
        <v>110</v>
      </c>
      <c r="C13" s="47"/>
      <c r="D13" s="58">
        <v>86.55</v>
      </c>
      <c r="E13" s="47"/>
      <c r="F13" s="47"/>
      <c r="G13" s="47"/>
      <c r="H13" s="47"/>
      <c r="I13" s="47"/>
      <c r="J13" s="47"/>
      <c r="K13" s="47"/>
      <c r="L13" s="47"/>
      <c r="M13" s="17"/>
    </row>
    <row r="14" spans="2:13" ht="15.75" customHeight="1" x14ac:dyDescent="0.2">
      <c r="B14" s="17" t="s">
        <v>111</v>
      </c>
      <c r="C14" s="47"/>
      <c r="D14" s="59">
        <v>46237</v>
      </c>
      <c r="E14" s="47"/>
      <c r="F14" s="47"/>
      <c r="G14" s="47"/>
      <c r="H14" s="47"/>
      <c r="I14" s="47"/>
      <c r="J14" s="47"/>
      <c r="K14" s="47"/>
      <c r="L14" s="47"/>
      <c r="M14" s="17"/>
    </row>
    <row r="15" spans="2:13" ht="15.75" customHeight="1" x14ac:dyDescent="0.2">
      <c r="B15" s="17" t="s">
        <v>112</v>
      </c>
      <c r="C15" s="47"/>
      <c r="D15" s="60">
        <v>0.03</v>
      </c>
      <c r="E15" s="47"/>
      <c r="F15" s="47"/>
      <c r="G15" s="47"/>
      <c r="H15" s="47"/>
      <c r="I15" s="47"/>
      <c r="J15" s="47"/>
      <c r="K15" s="47"/>
      <c r="L15" s="47"/>
      <c r="M15" s="17"/>
    </row>
    <row r="16" spans="2:13" ht="15.75" customHeight="1" x14ac:dyDescent="0.2">
      <c r="B16" s="14"/>
      <c r="C16" s="47"/>
      <c r="D16" s="61"/>
      <c r="E16" s="47"/>
      <c r="F16" s="47"/>
      <c r="G16" s="47"/>
      <c r="H16" s="47"/>
      <c r="I16" s="47"/>
      <c r="J16" s="47"/>
      <c r="K16" s="47"/>
      <c r="L16" s="47"/>
      <c r="M16" s="17"/>
    </row>
    <row r="17" spans="2:13" ht="15.75" customHeight="1" x14ac:dyDescent="0.2">
      <c r="B17" s="62" t="s">
        <v>113</v>
      </c>
      <c r="C17" s="47"/>
      <c r="D17" s="55"/>
      <c r="E17" s="47"/>
      <c r="F17" s="47"/>
      <c r="G17" s="47"/>
      <c r="H17" s="47"/>
      <c r="I17" s="47"/>
      <c r="J17" s="47"/>
      <c r="K17" s="47"/>
      <c r="L17" s="47"/>
      <c r="M17" s="17"/>
    </row>
    <row r="18" spans="2:13" ht="15.75" customHeight="1" x14ac:dyDescent="0.2">
      <c r="B18" s="63" t="s">
        <v>114</v>
      </c>
      <c r="C18" s="64">
        <v>2026</v>
      </c>
      <c r="D18" s="64">
        <v>2027</v>
      </c>
      <c r="E18" s="64">
        <v>2028</v>
      </c>
      <c r="F18" s="64">
        <v>2029</v>
      </c>
      <c r="G18" s="64">
        <v>2030</v>
      </c>
      <c r="H18" s="64">
        <v>2031</v>
      </c>
      <c r="I18" s="64">
        <v>2032</v>
      </c>
      <c r="J18" s="64">
        <v>2033</v>
      </c>
      <c r="K18" s="64">
        <v>2034</v>
      </c>
      <c r="L18" s="64">
        <v>2035</v>
      </c>
      <c r="M18" s="17"/>
    </row>
    <row r="19" spans="2:13" ht="15.75" customHeight="1" x14ac:dyDescent="0.2">
      <c r="B19" s="35" t="s">
        <v>115</v>
      </c>
      <c r="C19" s="17">
        <v>1</v>
      </c>
      <c r="D19" s="65">
        <f t="shared" ref="D19:L19" si="0">C19+1</f>
        <v>2</v>
      </c>
      <c r="E19" s="17">
        <f t="shared" si="0"/>
        <v>3</v>
      </c>
      <c r="F19" s="17">
        <f t="shared" si="0"/>
        <v>4</v>
      </c>
      <c r="G19" s="17">
        <f t="shared" si="0"/>
        <v>5</v>
      </c>
      <c r="H19" s="17">
        <f t="shared" si="0"/>
        <v>6</v>
      </c>
      <c r="I19" s="17">
        <f t="shared" si="0"/>
        <v>7</v>
      </c>
      <c r="J19" s="17">
        <f t="shared" si="0"/>
        <v>8</v>
      </c>
      <c r="K19" s="17">
        <f t="shared" si="0"/>
        <v>9</v>
      </c>
      <c r="L19" s="17">
        <f t="shared" si="0"/>
        <v>10</v>
      </c>
      <c r="M19" s="17"/>
    </row>
    <row r="20" spans="2:13" ht="15.75" customHeight="1" x14ac:dyDescent="0.2">
      <c r="B20" s="17" t="s">
        <v>116</v>
      </c>
      <c r="C20" s="66">
        <v>0.10009999999999999</v>
      </c>
      <c r="D20" s="66">
        <v>0.06</v>
      </c>
      <c r="E20" s="66">
        <v>0.06</v>
      </c>
      <c r="F20" s="66">
        <v>5.5714285714285702E-2</v>
      </c>
      <c r="G20" s="66">
        <v>5.14285714285714E-2</v>
      </c>
      <c r="H20" s="66">
        <v>4.7142857142857097E-2</v>
      </c>
      <c r="I20" s="66">
        <v>4.2857142857142899E-2</v>
      </c>
      <c r="J20" s="66">
        <v>3.8571428571428597E-2</v>
      </c>
      <c r="K20" s="66">
        <v>3.4285714285714301E-2</v>
      </c>
      <c r="L20" s="66">
        <v>0.03</v>
      </c>
      <c r="M20" s="17"/>
    </row>
    <row r="21" spans="2:13" ht="15.75" customHeight="1" x14ac:dyDescent="0.2">
      <c r="B21" s="67" t="s">
        <v>117</v>
      </c>
      <c r="C21" s="68">
        <f>$D$12*(1+C20)</f>
        <v>2.4972270000000001</v>
      </c>
      <c r="D21" s="68">
        <f t="shared" ref="D21:L21" si="1">C21*(1+D20)</f>
        <v>2.6470606200000004</v>
      </c>
      <c r="E21" s="68">
        <f t="shared" si="1"/>
        <v>2.8058842572000007</v>
      </c>
      <c r="F21" s="68">
        <f t="shared" si="1"/>
        <v>2.9622120943868575</v>
      </c>
      <c r="G21" s="68">
        <f t="shared" si="1"/>
        <v>3.1145544306696102</v>
      </c>
      <c r="H21" s="68">
        <f t="shared" si="1"/>
        <v>3.2613834252583205</v>
      </c>
      <c r="I21" s="68">
        <f t="shared" si="1"/>
        <v>3.4011570006265344</v>
      </c>
      <c r="J21" s="68">
        <f t="shared" si="1"/>
        <v>3.5323444849364156</v>
      </c>
      <c r="K21" s="68">
        <f t="shared" si="1"/>
        <v>3.6534534387056641</v>
      </c>
      <c r="L21" s="68">
        <f t="shared" si="1"/>
        <v>3.7630570418668343</v>
      </c>
      <c r="M21" s="17"/>
    </row>
    <row r="22" spans="2:13" ht="15.75" customHeight="1" x14ac:dyDescent="0.2">
      <c r="B22" s="69" t="s">
        <v>118</v>
      </c>
      <c r="C22" s="70">
        <f t="shared" ref="C22:L22" si="2">IFERROR(1/(1+$D$9)^C19,"")</f>
        <v>0.93848091455482685</v>
      </c>
      <c r="D22" s="70">
        <f t="shared" si="2"/>
        <v>0.88074642698366434</v>
      </c>
      <c r="E22" s="70">
        <f t="shared" si="2"/>
        <v>0.82656371228652536</v>
      </c>
      <c r="F22" s="70">
        <f t="shared" si="2"/>
        <v>0.775714268644491</v>
      </c>
      <c r="G22" s="70">
        <f t="shared" si="2"/>
        <v>0.72799303627071066</v>
      </c>
      <c r="H22" s="70">
        <f t="shared" si="2"/>
        <v>0.6832075704688817</v>
      </c>
      <c r="I22" s="70">
        <f t="shared" si="2"/>
        <v>0.64117726556441756</v>
      </c>
      <c r="J22" s="70">
        <f t="shared" si="2"/>
        <v>0.60173262657865767</v>
      </c>
      <c r="K22" s="70">
        <f t="shared" si="2"/>
        <v>0.56471458570901678</v>
      </c>
      <c r="L22" s="70">
        <f t="shared" si="2"/>
        <v>0.52997386085864817</v>
      </c>
      <c r="M22" s="17"/>
    </row>
    <row r="23" spans="2:13" ht="15.75" customHeight="1" x14ac:dyDescent="0.2">
      <c r="B23" s="53" t="s">
        <v>119</v>
      </c>
      <c r="C23" s="68">
        <f t="shared" ref="C23:L23" si="3">IFERROR(C21*C22,"")</f>
        <v>2.3435998788110068</v>
      </c>
      <c r="D23" s="68">
        <f t="shared" si="3"/>
        <v>2.3313891830741635</v>
      </c>
      <c r="E23" s="68">
        <f t="shared" si="3"/>
        <v>2.3192421078775523</v>
      </c>
      <c r="F23" s="68">
        <f t="shared" si="3"/>
        <v>2.297830188367167</v>
      </c>
      <c r="G23" s="68">
        <f t="shared" si="3"/>
        <v>2.2673739366135641</v>
      </c>
      <c r="H23" s="68">
        <f t="shared" si="3"/>
        <v>2.2282018463382167</v>
      </c>
      <c r="I23" s="68">
        <f t="shared" si="3"/>
        <v>2.1807445454169971</v>
      </c>
      <c r="J23" s="68">
        <f t="shared" si="3"/>
        <v>2.125526924901425</v>
      </c>
      <c r="K23" s="68">
        <f t="shared" si="3"/>
        <v>2.0631584450458518</v>
      </c>
      <c r="L23" s="68">
        <f t="shared" si="3"/>
        <v>1.9943218691094899</v>
      </c>
      <c r="M23" s="17"/>
    </row>
    <row r="24" spans="2:13" ht="15.75" customHeight="1" x14ac:dyDescent="0.2">
      <c r="B24" s="14"/>
      <c r="C24" s="71"/>
      <c r="D24" s="71"/>
      <c r="E24" s="71"/>
      <c r="F24" s="71"/>
      <c r="G24" s="71"/>
      <c r="H24" s="71"/>
      <c r="I24" s="71"/>
      <c r="J24" s="71"/>
      <c r="K24" s="71"/>
      <c r="L24" s="71"/>
      <c r="M24" s="17"/>
    </row>
    <row r="25" spans="2:13" ht="15.75" customHeight="1" x14ac:dyDescent="0.2">
      <c r="B25" s="49" t="s">
        <v>120</v>
      </c>
      <c r="C25" s="72"/>
      <c r="D25" s="72"/>
      <c r="E25" s="73"/>
      <c r="F25" s="73"/>
      <c r="G25" s="73"/>
      <c r="H25" s="73"/>
      <c r="I25" s="73"/>
      <c r="J25" s="73"/>
      <c r="K25" s="73"/>
      <c r="L25" s="73"/>
      <c r="M25" s="17"/>
    </row>
    <row r="26" spans="2:13" ht="15.75" customHeight="1" x14ac:dyDescent="0.2">
      <c r="B26" s="14" t="s">
        <v>121</v>
      </c>
      <c r="C26" s="73"/>
      <c r="D26" s="74">
        <f>L21</f>
        <v>3.7630570418668343</v>
      </c>
      <c r="E26" s="73"/>
      <c r="F26" s="73"/>
      <c r="G26" s="73"/>
      <c r="H26" s="73"/>
      <c r="I26" s="73"/>
      <c r="J26" s="73"/>
      <c r="K26" s="73"/>
      <c r="L26" s="73"/>
      <c r="M26" s="17"/>
    </row>
    <row r="27" spans="2:13" ht="15.75" customHeight="1" x14ac:dyDescent="0.2">
      <c r="B27" s="14" t="s">
        <v>122</v>
      </c>
      <c r="C27" s="61"/>
      <c r="D27" s="75">
        <f>IFERROR(L21*(1+$D$15)/($D$9-$D$15),0)</f>
        <v>109.0226649309155</v>
      </c>
      <c r="E27" s="61"/>
      <c r="F27" s="61"/>
      <c r="G27" s="61"/>
      <c r="H27" s="61"/>
      <c r="I27" s="61"/>
      <c r="J27" s="61"/>
      <c r="K27" s="61"/>
      <c r="L27" s="61"/>
      <c r="M27" s="17"/>
    </row>
    <row r="28" spans="2:13" ht="15.75" customHeight="1" x14ac:dyDescent="0.2">
      <c r="B28" s="14" t="s">
        <v>123</v>
      </c>
      <c r="C28" s="76"/>
      <c r="D28" s="75">
        <f>IFERROR(D27*L22,0)</f>
        <v>57.77916265453603</v>
      </c>
      <c r="E28" s="76"/>
      <c r="F28" s="76"/>
      <c r="G28" s="76"/>
      <c r="H28" s="76"/>
      <c r="I28" s="76"/>
      <c r="J28" s="76"/>
      <c r="K28" s="76"/>
      <c r="L28" s="76"/>
      <c r="M28" s="17"/>
    </row>
    <row r="29" spans="2:13" ht="15.75" customHeight="1" x14ac:dyDescent="0.2">
      <c r="B29" s="35"/>
      <c r="C29" s="77"/>
      <c r="D29" s="77"/>
      <c r="E29" s="77"/>
      <c r="F29" s="77"/>
      <c r="G29" s="77"/>
      <c r="H29" s="77"/>
      <c r="I29" s="77"/>
      <c r="J29" s="77"/>
      <c r="K29" s="77"/>
      <c r="L29" s="77"/>
      <c r="M29" s="17"/>
    </row>
    <row r="30" spans="2:13" ht="15.75" customHeight="1" x14ac:dyDescent="0.2">
      <c r="B30" s="49" t="s">
        <v>124</v>
      </c>
      <c r="C30" s="72"/>
      <c r="D30" s="72"/>
      <c r="E30" s="73"/>
      <c r="F30" s="73"/>
      <c r="G30" s="73"/>
      <c r="H30" s="73"/>
      <c r="I30" s="73"/>
      <c r="J30" s="73"/>
      <c r="K30" s="73"/>
      <c r="L30" s="73"/>
      <c r="M30" s="17"/>
    </row>
    <row r="31" spans="2:13" ht="15.75" customHeight="1" x14ac:dyDescent="0.2">
      <c r="B31" s="14" t="s">
        <v>125</v>
      </c>
      <c r="C31" s="73"/>
      <c r="D31" s="74">
        <f>SUM(C23:L23)</f>
        <v>22.151388925555434</v>
      </c>
      <c r="E31" s="73"/>
      <c r="F31" s="73"/>
      <c r="G31" s="73"/>
      <c r="H31" s="73"/>
      <c r="I31" s="73"/>
      <c r="J31" s="73"/>
      <c r="K31" s="73"/>
      <c r="L31" s="73"/>
      <c r="M31" s="17"/>
    </row>
    <row r="32" spans="2:13" ht="15.75" customHeight="1" x14ac:dyDescent="0.2">
      <c r="B32" s="14" t="s">
        <v>126</v>
      </c>
      <c r="C32" s="73"/>
      <c r="D32" s="74">
        <f>D28</f>
        <v>57.77916265453603</v>
      </c>
      <c r="E32" s="73"/>
      <c r="F32" s="73"/>
      <c r="G32" s="73"/>
      <c r="H32" s="73"/>
      <c r="I32" s="73"/>
      <c r="J32" s="73"/>
      <c r="K32" s="73"/>
      <c r="L32" s="73"/>
      <c r="M32" s="17"/>
    </row>
    <row r="33" spans="2:13" ht="15.75" customHeight="1" x14ac:dyDescent="0.2">
      <c r="B33" s="53" t="s">
        <v>127</v>
      </c>
      <c r="C33" s="73"/>
      <c r="D33" s="78">
        <f>D31+D32</f>
        <v>79.930551580091461</v>
      </c>
      <c r="E33" s="73"/>
      <c r="F33" s="73"/>
      <c r="G33" s="73"/>
      <c r="H33" s="73"/>
      <c r="I33" s="73"/>
      <c r="J33" s="73"/>
      <c r="K33" s="73"/>
      <c r="L33" s="73"/>
      <c r="M33" s="17"/>
    </row>
    <row r="34" spans="2:13" ht="15.75" customHeight="1" x14ac:dyDescent="0.2">
      <c r="B34" s="35" t="s">
        <v>128</v>
      </c>
      <c r="C34" s="77"/>
      <c r="D34" s="79">
        <f>D13</f>
        <v>86.55</v>
      </c>
      <c r="E34" s="77"/>
      <c r="F34" s="77"/>
      <c r="G34" s="77"/>
      <c r="H34" s="77"/>
      <c r="I34" s="77"/>
      <c r="J34" s="77"/>
      <c r="K34" s="77"/>
      <c r="L34" s="77"/>
      <c r="M34" s="17"/>
    </row>
    <row r="35" spans="2:13" ht="15.75" customHeight="1" x14ac:dyDescent="0.2">
      <c r="B35" s="53" t="s">
        <v>129</v>
      </c>
      <c r="C35" s="80"/>
      <c r="D35" s="81">
        <f>IFERROR(D33/D13-1,"")</f>
        <v>-7.6481206469191654E-2</v>
      </c>
      <c r="E35" s="80"/>
      <c r="F35" s="80"/>
      <c r="G35" s="80"/>
      <c r="H35" s="80"/>
      <c r="I35" s="80"/>
      <c r="J35" s="80"/>
      <c r="K35" s="80"/>
      <c r="L35" s="80"/>
      <c r="M35" s="17"/>
    </row>
    <row r="36" spans="2:13" ht="15.75" customHeight="1" x14ac:dyDescent="0.2">
      <c r="B36" s="35"/>
      <c r="C36" s="77"/>
      <c r="D36" s="77"/>
      <c r="E36" s="77"/>
      <c r="F36" s="77"/>
      <c r="G36" s="77"/>
      <c r="H36" s="77"/>
      <c r="I36" s="77"/>
      <c r="J36" s="77"/>
      <c r="K36" s="77"/>
      <c r="L36" s="77"/>
      <c r="M36" s="17"/>
    </row>
    <row r="37" spans="2:13" ht="15.75" customHeight="1" x14ac:dyDescent="0.2">
      <c r="B37" s="49" t="s">
        <v>130</v>
      </c>
      <c r="C37" s="50"/>
      <c r="D37" s="50"/>
      <c r="E37" s="50"/>
      <c r="F37" s="50"/>
      <c r="G37" s="50"/>
      <c r="H37" s="50"/>
      <c r="I37" s="50"/>
      <c r="J37" s="82"/>
      <c r="K37" s="83"/>
      <c r="L37" s="83"/>
    </row>
    <row r="38" spans="2:13" ht="15.75" customHeight="1" x14ac:dyDescent="0.2">
      <c r="B38" s="84" t="s">
        <v>131</v>
      </c>
      <c r="C38" s="55">
        <f t="shared" ref="C38:L38" si="4">C20</f>
        <v>0.10009999999999999</v>
      </c>
      <c r="D38" s="55">
        <f t="shared" si="4"/>
        <v>0.06</v>
      </c>
      <c r="E38" s="55">
        <f t="shared" si="4"/>
        <v>0.06</v>
      </c>
      <c r="F38" s="55">
        <f t="shared" si="4"/>
        <v>5.5714285714285702E-2</v>
      </c>
      <c r="G38" s="55">
        <f t="shared" si="4"/>
        <v>5.14285714285714E-2</v>
      </c>
      <c r="H38" s="55">
        <f t="shared" si="4"/>
        <v>4.7142857142857097E-2</v>
      </c>
      <c r="I38" s="55">
        <f t="shared" si="4"/>
        <v>4.2857142857142899E-2</v>
      </c>
      <c r="J38" s="55">
        <f t="shared" si="4"/>
        <v>3.8571428571428597E-2</v>
      </c>
      <c r="K38" s="55">
        <f t="shared" si="4"/>
        <v>3.4285714285714301E-2</v>
      </c>
      <c r="L38" s="55">
        <f t="shared" si="4"/>
        <v>0.03</v>
      </c>
    </row>
    <row r="39" spans="2:13" ht="15.75" customHeight="1" x14ac:dyDescent="0.2">
      <c r="B39" s="84" t="s">
        <v>132</v>
      </c>
      <c r="C39" s="55">
        <f>'Residual Income Model'!C18</f>
        <v>7.8171488961281455E-2</v>
      </c>
      <c r="D39" s="55">
        <f>'Residual Income Model'!D18</f>
        <v>7.8703175730057362E-2</v>
      </c>
      <c r="E39" s="55">
        <f>'Residual Income Model'!E18</f>
        <v>7.9262966581617134E-2</v>
      </c>
      <c r="F39" s="55">
        <f>'Residual Income Model'!F18</f>
        <v>7.8970610356870585E-2</v>
      </c>
      <c r="G39" s="55">
        <f>'Residual Income Model'!G18</f>
        <v>7.8853512425650862E-2</v>
      </c>
      <c r="H39" s="55">
        <f>'Residual Income Model'!H18</f>
        <v>7.9389030702163854E-2</v>
      </c>
      <c r="I39" s="55">
        <f>'Residual Income Model'!I18</f>
        <v>7.8612200146833011E-2</v>
      </c>
      <c r="J39" s="55">
        <f>'Residual Income Model'!J18</f>
        <v>6.043195543948543E-2</v>
      </c>
      <c r="K39" s="55">
        <f>'Residual Income Model'!K18</f>
        <v>4.9724660299312662E-2</v>
      </c>
      <c r="L39" s="55">
        <f>'Residual Income Model'!L18</f>
        <v>3.5331788734958236E-2</v>
      </c>
    </row>
    <row r="40" spans="2:13" ht="15.75" customHeight="1" x14ac:dyDescent="0.2">
      <c r="B40" s="84" t="s">
        <v>133</v>
      </c>
      <c r="C40" s="55">
        <f>C21/'Residual Income Model'!C17</f>
        <v>0.62430421781485779</v>
      </c>
      <c r="D40" s="55">
        <f>D21/'Residual Income Model'!D17</f>
        <v>0.61347967241857237</v>
      </c>
      <c r="E40" s="55">
        <f>E21/'Residual Income Model'!E17</f>
        <v>0.60253012741034329</v>
      </c>
      <c r="F40" s="55">
        <f>F21/'Residual Income Model'!F17</f>
        <v>0.58954308576575354</v>
      </c>
      <c r="G40" s="55">
        <f>G21/'Residual Income Model'!G17</f>
        <v>0.5745566356535321</v>
      </c>
      <c r="H40" s="55">
        <f>H21/'Residual Income Model'!H17</f>
        <v>0.5573920615602761</v>
      </c>
      <c r="I40" s="55">
        <f>I21/'Residual Income Model'!I17</f>
        <v>0.53891499900601136</v>
      </c>
      <c r="J40" s="55">
        <f>J21/'Residual Income Model'!J17</f>
        <v>0.52780540752780358</v>
      </c>
      <c r="K40" s="55">
        <f>K21/'Residual Income Model'!K17</f>
        <v>0.52004264887242102</v>
      </c>
      <c r="L40" s="55">
        <f>L21/'Residual Income Model'!L17</f>
        <v>0.51736451460944843</v>
      </c>
    </row>
    <row r="41" spans="2:13" ht="15.75" customHeight="1" x14ac:dyDescent="0.2">
      <c r="B41" s="17"/>
      <c r="C41" s="17"/>
      <c r="D41" s="17"/>
      <c r="E41" s="17"/>
      <c r="F41" s="17"/>
      <c r="G41" s="17"/>
      <c r="H41" s="17"/>
      <c r="I41" s="17"/>
      <c r="J41" s="17"/>
      <c r="K41" s="17"/>
      <c r="L41" s="17"/>
      <c r="M41" s="17"/>
    </row>
    <row r="42" spans="2:13" ht="15.75" customHeight="1" x14ac:dyDescent="0.2">
      <c r="B42" s="14"/>
      <c r="C42" s="47"/>
      <c r="D42" s="73"/>
      <c r="E42" s="47"/>
      <c r="F42" s="47"/>
      <c r="G42" s="47"/>
      <c r="H42" s="47"/>
      <c r="I42" s="47"/>
      <c r="J42" s="47"/>
      <c r="K42" s="47"/>
      <c r="L42" s="47"/>
      <c r="M42" s="17"/>
    </row>
    <row r="43" spans="2:13" ht="15.75" customHeight="1" x14ac:dyDescent="0.2">
      <c r="B43" s="14"/>
      <c r="C43" s="47"/>
      <c r="D43" s="73"/>
      <c r="E43" s="47"/>
      <c r="F43" s="47"/>
      <c r="G43" s="47"/>
      <c r="H43" s="47"/>
      <c r="I43" s="47"/>
      <c r="J43" s="47"/>
      <c r="K43" s="47"/>
      <c r="L43" s="47"/>
      <c r="M43" s="17"/>
    </row>
    <row r="44" spans="2:13" ht="15.75" customHeight="1" x14ac:dyDescent="0.2">
      <c r="B44" s="14"/>
      <c r="C44" s="47"/>
      <c r="D44" s="73"/>
      <c r="E44" s="47"/>
      <c r="F44" s="47"/>
      <c r="G44" s="47"/>
      <c r="H44" s="47"/>
      <c r="I44" s="47"/>
      <c r="J44" s="47"/>
      <c r="K44" s="47"/>
      <c r="L44" s="47"/>
      <c r="M44" s="17"/>
    </row>
    <row r="45" spans="2:13" ht="15.75" customHeight="1" x14ac:dyDescent="0.2">
      <c r="B45" s="14"/>
      <c r="C45" s="47"/>
      <c r="D45" s="73"/>
      <c r="E45" s="47"/>
      <c r="F45" s="47"/>
      <c r="G45" s="47"/>
      <c r="H45" s="47"/>
      <c r="I45" s="47"/>
      <c r="J45" s="47"/>
      <c r="K45" s="47"/>
      <c r="L45" s="47"/>
      <c r="M45" s="17"/>
    </row>
    <row r="46" spans="2:13" ht="15.75" customHeight="1" x14ac:dyDescent="0.2">
      <c r="B46" s="35"/>
      <c r="C46" s="47"/>
      <c r="D46" s="77"/>
      <c r="E46" s="47"/>
      <c r="F46" s="47"/>
      <c r="G46" s="47"/>
      <c r="H46" s="47"/>
      <c r="I46" s="47"/>
      <c r="J46" s="47"/>
      <c r="K46" s="47"/>
      <c r="L46" s="47"/>
      <c r="M46" s="17"/>
    </row>
    <row r="47" spans="2:13" ht="15.75" customHeight="1" x14ac:dyDescent="0.2">
      <c r="B47" s="14"/>
      <c r="C47" s="47"/>
      <c r="D47" s="85"/>
      <c r="E47" s="47"/>
      <c r="F47" s="47"/>
      <c r="G47" s="47"/>
      <c r="H47" s="47"/>
      <c r="I47" s="47"/>
      <c r="J47" s="47"/>
      <c r="K47" s="47"/>
      <c r="L47" s="47"/>
    </row>
    <row r="48" spans="2:13" ht="15.75" customHeight="1" x14ac:dyDescent="0.2">
      <c r="B48" s="35"/>
      <c r="D48" s="86"/>
    </row>
    <row r="49" spans="2:4" ht="15.75" customHeight="1" x14ac:dyDescent="0.2">
      <c r="B49" s="14"/>
      <c r="D49" s="87"/>
    </row>
    <row r="50" spans="2:4" ht="15.75" customHeight="1" x14ac:dyDescent="0.2">
      <c r="B50" s="35"/>
      <c r="D50" s="88"/>
    </row>
    <row r="51" spans="2:4" ht="15.75" customHeight="1" x14ac:dyDescent="0.2"/>
    <row r="52" spans="2:4" ht="15.75" customHeight="1" x14ac:dyDescent="0.2">
      <c r="B52" s="89"/>
    </row>
    <row r="53" spans="2:4" ht="15.75" customHeight="1" x14ac:dyDescent="0.2">
      <c r="B53" s="14"/>
      <c r="D53" s="90"/>
    </row>
    <row r="54" spans="2:4" ht="15.75" customHeight="1" x14ac:dyDescent="0.2">
      <c r="B54" s="14"/>
      <c r="D54" s="91"/>
    </row>
    <row r="55" spans="2:4" ht="15.75" customHeight="1" x14ac:dyDescent="0.2">
      <c r="B55" s="14"/>
      <c r="D55" s="91"/>
    </row>
    <row r="56" spans="2:4" ht="15.75" customHeight="1" x14ac:dyDescent="0.2"/>
    <row r="57" spans="2:4" ht="15.75" customHeight="1" x14ac:dyDescent="0.2">
      <c r="B57" s="92"/>
    </row>
    <row r="58" spans="2:4" ht="15.75" customHeight="1" x14ac:dyDescent="0.2"/>
    <row r="60" spans="2:4" ht="15.75" customHeight="1" x14ac:dyDescent="0.2"/>
  </sheetData>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81E5D"/>
  </sheetPr>
  <dimension ref="B1:O53"/>
  <sheetViews>
    <sheetView showGridLines="0" tabSelected="1" zoomScaleNormal="100" workbookViewId="0">
      <pane ySplit="3" topLeftCell="A4" activePane="bottomLeft" state="frozen"/>
      <selection activeCell="B1" sqref="B1"/>
      <selection pane="bottomLeft" activeCell="F25" sqref="F25"/>
    </sheetView>
  </sheetViews>
  <sheetFormatPr baseColWidth="10" defaultColWidth="8.5703125" defaultRowHeight="16" x14ac:dyDescent="0.2"/>
  <cols>
    <col min="1" max="1" width="1.7109375" customWidth="1"/>
    <col min="2" max="2" width="42.140625" customWidth="1"/>
    <col min="3" max="12" width="9.5703125" customWidth="1"/>
  </cols>
  <sheetData>
    <row r="1" spans="2:15" ht="9.75" customHeight="1" x14ac:dyDescent="0.2">
      <c r="B1" s="17"/>
      <c r="C1" s="17"/>
      <c r="D1" s="17"/>
      <c r="E1" s="17"/>
      <c r="F1" s="17"/>
      <c r="G1" s="17"/>
      <c r="H1" s="17"/>
      <c r="I1" s="17"/>
      <c r="J1" s="17"/>
      <c r="K1" s="17"/>
      <c r="L1" s="17"/>
      <c r="M1" s="17"/>
      <c r="N1" s="17"/>
      <c r="O1" s="17"/>
    </row>
    <row r="2" spans="2:15" ht="15.75" customHeight="1" x14ac:dyDescent="0.2">
      <c r="B2" s="93" t="s">
        <v>134</v>
      </c>
      <c r="C2" s="1"/>
      <c r="D2" s="1"/>
      <c r="E2" s="17"/>
      <c r="F2" s="17"/>
      <c r="G2" s="17"/>
      <c r="H2" s="17"/>
      <c r="I2" s="17"/>
      <c r="J2" s="17"/>
      <c r="K2" s="17"/>
      <c r="L2" s="17"/>
      <c r="M2" s="17"/>
      <c r="N2" s="17"/>
      <c r="O2" s="17"/>
    </row>
    <row r="3" spans="2:15" ht="15.75" customHeight="1" x14ac:dyDescent="0.2">
      <c r="B3" s="209" t="s">
        <v>445</v>
      </c>
      <c r="C3" s="48"/>
      <c r="D3" s="48"/>
      <c r="E3" s="17"/>
      <c r="F3" s="17"/>
      <c r="G3" s="17"/>
      <c r="H3" s="17"/>
      <c r="I3" s="17"/>
      <c r="J3" s="17"/>
      <c r="K3" s="17"/>
      <c r="L3" s="17"/>
      <c r="M3" s="17"/>
      <c r="N3" s="17"/>
      <c r="O3" s="17"/>
    </row>
    <row r="4" spans="2:15" ht="15.75" customHeight="1" x14ac:dyDescent="0.2">
      <c r="B4" s="17"/>
      <c r="C4" s="17"/>
      <c r="D4" s="17"/>
      <c r="E4" s="17"/>
      <c r="F4" s="17"/>
      <c r="G4" s="17"/>
      <c r="H4" s="17"/>
      <c r="I4" s="17"/>
      <c r="J4" s="17"/>
      <c r="K4" s="17"/>
      <c r="L4" s="17"/>
      <c r="M4" s="17"/>
      <c r="N4" s="17"/>
      <c r="O4" s="17"/>
    </row>
    <row r="5" spans="2:15" ht="15" customHeight="1" x14ac:dyDescent="0.2">
      <c r="B5" s="62" t="s">
        <v>135</v>
      </c>
      <c r="C5" s="17"/>
      <c r="D5" s="17"/>
      <c r="E5" s="17"/>
      <c r="F5" s="17"/>
      <c r="G5" s="17"/>
      <c r="H5" s="17"/>
      <c r="I5" s="17"/>
      <c r="J5" s="17"/>
      <c r="K5" s="17"/>
      <c r="L5" s="17"/>
      <c r="M5" s="17"/>
      <c r="N5" s="17"/>
      <c r="O5" s="17"/>
    </row>
    <row r="6" spans="2:15" ht="15" customHeight="1" x14ac:dyDescent="0.2">
      <c r="B6" s="94" t="s">
        <v>136</v>
      </c>
      <c r="C6" s="94"/>
      <c r="D6" s="95">
        <f>'DDM Model'!D9</f>
        <v>6.5551770410115326E-2</v>
      </c>
      <c r="E6" s="94"/>
      <c r="F6" s="96"/>
      <c r="G6" s="94"/>
      <c r="H6" s="94"/>
      <c r="I6" s="94"/>
      <c r="J6" s="94"/>
      <c r="K6" s="94"/>
      <c r="L6" s="94"/>
      <c r="M6" s="17"/>
      <c r="N6" s="17"/>
      <c r="O6" s="17"/>
    </row>
    <row r="7" spans="2:15" ht="15" customHeight="1" x14ac:dyDescent="0.2">
      <c r="B7" s="17" t="s">
        <v>137</v>
      </c>
      <c r="C7" s="17"/>
      <c r="D7" s="97">
        <f>'3-Statement Model'!L53/'SOTP &amp; Multiples'!C17</f>
        <v>26.367938194109126</v>
      </c>
      <c r="E7" s="17"/>
      <c r="F7" s="17"/>
      <c r="G7" s="17"/>
      <c r="H7" s="17"/>
      <c r="I7" s="17"/>
      <c r="J7" s="17"/>
      <c r="K7" s="17"/>
      <c r="L7" s="17"/>
      <c r="M7" s="17"/>
      <c r="N7" s="17"/>
      <c r="O7" s="17"/>
    </row>
    <row r="8" spans="2:15" ht="15" customHeight="1" x14ac:dyDescent="0.2">
      <c r="B8" s="17" t="s">
        <v>138</v>
      </c>
      <c r="C8" s="17"/>
      <c r="D8" s="98">
        <v>0.03</v>
      </c>
      <c r="E8" s="17"/>
      <c r="F8" s="17"/>
      <c r="G8" s="17"/>
      <c r="H8" s="17"/>
      <c r="I8" s="17"/>
      <c r="J8" s="17"/>
      <c r="K8" s="17"/>
      <c r="L8" s="17"/>
      <c r="M8" s="17"/>
      <c r="N8" s="17"/>
      <c r="O8" s="17"/>
    </row>
    <row r="9" spans="2:15" ht="15" customHeight="1" x14ac:dyDescent="0.2">
      <c r="B9" s="17" t="s">
        <v>139</v>
      </c>
      <c r="C9" s="99">
        <f t="shared" ref="C9:L9" si="0">C21/C15-1</f>
        <v>8.0127206325080413E-2</v>
      </c>
      <c r="D9" s="100">
        <f t="shared" si="0"/>
        <v>7.9975821909610056E-2</v>
      </c>
      <c r="E9" s="99">
        <f t="shared" si="0"/>
        <v>7.9683743608924162E-2</v>
      </c>
      <c r="F9" s="99">
        <f t="shared" si="0"/>
        <v>7.9567039880958701E-2</v>
      </c>
      <c r="G9" s="99">
        <f t="shared" si="0"/>
        <v>7.9389030702163854E-2</v>
      </c>
      <c r="H9" s="99">
        <f t="shared" si="0"/>
        <v>7.932604012045763E-2</v>
      </c>
      <c r="I9" s="99">
        <f t="shared" si="0"/>
        <v>7.972552875273764E-2</v>
      </c>
      <c r="J9" s="99">
        <f t="shared" si="0"/>
        <v>7.8056329331612551E-2</v>
      </c>
      <c r="K9" s="99">
        <f t="shared" si="0"/>
        <v>7.5524395918055154E-2</v>
      </c>
      <c r="L9" s="99">
        <f t="shared" si="0"/>
        <v>7.1724400733396365E-2</v>
      </c>
      <c r="M9" s="17"/>
      <c r="N9" s="17"/>
      <c r="O9" s="17"/>
    </row>
    <row r="10" spans="2:15" ht="15" customHeight="1" x14ac:dyDescent="0.2">
      <c r="B10" s="17"/>
      <c r="C10" s="99"/>
      <c r="D10" s="100"/>
      <c r="E10" s="99"/>
      <c r="F10" s="99"/>
      <c r="G10" s="99"/>
      <c r="H10" s="99"/>
      <c r="I10" s="99"/>
      <c r="J10" s="99"/>
      <c r="K10" s="99"/>
      <c r="L10" s="99"/>
      <c r="M10" s="17"/>
      <c r="N10" s="17"/>
      <c r="O10" s="17"/>
    </row>
    <row r="11" spans="2:15" ht="15" customHeight="1" x14ac:dyDescent="0.2">
      <c r="B11" s="17"/>
      <c r="C11" s="99"/>
      <c r="D11" s="100"/>
      <c r="E11" s="99"/>
      <c r="F11" s="99"/>
      <c r="G11" s="99"/>
      <c r="H11" s="99"/>
      <c r="I11" s="99"/>
      <c r="J11" s="99"/>
      <c r="K11" s="99"/>
      <c r="L11" s="99"/>
      <c r="M11" s="17"/>
      <c r="N11" s="17"/>
      <c r="O11" s="17"/>
    </row>
    <row r="12" spans="2:15" ht="15" customHeight="1" x14ac:dyDescent="0.2">
      <c r="B12" s="62" t="s">
        <v>140</v>
      </c>
      <c r="C12" s="17"/>
      <c r="D12" s="17"/>
      <c r="E12" s="17"/>
      <c r="F12" s="17"/>
      <c r="G12" s="17"/>
      <c r="H12" s="17"/>
      <c r="I12" s="17"/>
      <c r="J12" s="17"/>
      <c r="K12" s="17"/>
      <c r="L12" s="17"/>
      <c r="M12" s="17"/>
      <c r="N12" s="17"/>
      <c r="O12" s="17"/>
    </row>
    <row r="13" spans="2:15" ht="15" customHeight="1" x14ac:dyDescent="0.2">
      <c r="B13" s="101" t="s">
        <v>114</v>
      </c>
      <c r="C13" s="102">
        <v>2026</v>
      </c>
      <c r="D13" s="102">
        <v>2027</v>
      </c>
      <c r="E13" s="102">
        <v>2028</v>
      </c>
      <c r="F13" s="102">
        <v>2029</v>
      </c>
      <c r="G13" s="102">
        <v>2030</v>
      </c>
      <c r="H13" s="102">
        <v>2031</v>
      </c>
      <c r="I13" s="102">
        <v>2032</v>
      </c>
      <c r="J13" s="102">
        <v>2033</v>
      </c>
      <c r="K13" s="102">
        <v>2034</v>
      </c>
      <c r="L13" s="102">
        <v>2035</v>
      </c>
      <c r="M13" s="17"/>
      <c r="N13" s="17"/>
      <c r="O13" s="17"/>
    </row>
    <row r="14" spans="2:15" ht="15" customHeight="1" x14ac:dyDescent="0.2">
      <c r="B14" s="84" t="s">
        <v>115</v>
      </c>
      <c r="C14" s="103">
        <v>1</v>
      </c>
      <c r="D14" s="103">
        <f t="shared" ref="D14:L14" si="1">C14+1</f>
        <v>2</v>
      </c>
      <c r="E14" s="103">
        <f t="shared" si="1"/>
        <v>3</v>
      </c>
      <c r="F14" s="103">
        <f t="shared" si="1"/>
        <v>4</v>
      </c>
      <c r="G14" s="103">
        <f t="shared" si="1"/>
        <v>5</v>
      </c>
      <c r="H14" s="103">
        <f t="shared" si="1"/>
        <v>6</v>
      </c>
      <c r="I14" s="103">
        <f t="shared" si="1"/>
        <v>7</v>
      </c>
      <c r="J14" s="103">
        <f t="shared" si="1"/>
        <v>8</v>
      </c>
      <c r="K14" s="103">
        <f t="shared" si="1"/>
        <v>9</v>
      </c>
      <c r="L14" s="103">
        <f t="shared" si="1"/>
        <v>10</v>
      </c>
      <c r="M14" s="17"/>
      <c r="N14" s="17"/>
      <c r="O14" s="17"/>
    </row>
    <row r="15" spans="2:15" ht="15" customHeight="1" x14ac:dyDescent="0.2">
      <c r="B15" s="84" t="s">
        <v>141</v>
      </c>
      <c r="C15" s="97">
        <f>D7</f>
        <v>26.367938194109126</v>
      </c>
      <c r="D15" s="97">
        <f t="shared" ref="D15:L15" si="2">C21</f>
        <v>28.480727418155478</v>
      </c>
      <c r="E15" s="97">
        <f t="shared" si="2"/>
        <v>30.758497002006031</v>
      </c>
      <c r="F15" s="97">
        <f t="shared" si="2"/>
        <v>33.209449190909744</v>
      </c>
      <c r="G15" s="97">
        <f t="shared" si="2"/>
        <v>35.851826759107531</v>
      </c>
      <c r="H15" s="97">
        <f t="shared" si="2"/>
        <v>38.698068534414979</v>
      </c>
      <c r="I15" s="97">
        <f t="shared" si="2"/>
        <v>41.767833071560197</v>
      </c>
      <c r="J15" s="97">
        <f t="shared" si="2"/>
        <v>45.097795648046414</v>
      </c>
      <c r="K15" s="97">
        <f t="shared" si="2"/>
        <v>48.617964037280089</v>
      </c>
      <c r="L15" s="97">
        <f t="shared" si="2"/>
        <v>52.289806401961393</v>
      </c>
      <c r="M15" s="17"/>
      <c r="N15" s="17"/>
      <c r="O15" s="17"/>
    </row>
    <row r="16" spans="2:15" ht="15" customHeight="1" x14ac:dyDescent="0.2">
      <c r="B16" s="84" t="s">
        <v>142</v>
      </c>
      <c r="C16" s="55">
        <v>0.1517</v>
      </c>
      <c r="D16" s="55">
        <v>0.1515</v>
      </c>
      <c r="E16" s="55">
        <v>0.15140000000000001</v>
      </c>
      <c r="F16" s="55">
        <v>0.15129999999999999</v>
      </c>
      <c r="G16" s="55">
        <v>0.1512</v>
      </c>
      <c r="H16" s="55">
        <v>0.1512</v>
      </c>
      <c r="I16" s="55">
        <v>0.15110000000000001</v>
      </c>
      <c r="J16" s="55">
        <v>0.1484</v>
      </c>
      <c r="K16" s="55">
        <v>0.14449999999999999</v>
      </c>
      <c r="L16" s="55">
        <v>0.1391</v>
      </c>
      <c r="M16" s="17"/>
      <c r="N16" s="17"/>
      <c r="O16" s="17"/>
    </row>
    <row r="17" spans="2:15" ht="15" customHeight="1" x14ac:dyDescent="0.2">
      <c r="B17" s="84" t="s">
        <v>143</v>
      </c>
      <c r="C17" s="97">
        <f t="shared" ref="C17:L17" si="3">C16*C15</f>
        <v>4.0000162240463544</v>
      </c>
      <c r="D17" s="97">
        <f t="shared" si="3"/>
        <v>4.3148302038505548</v>
      </c>
      <c r="E17" s="97">
        <f t="shared" si="3"/>
        <v>4.6568364461037133</v>
      </c>
      <c r="F17" s="97">
        <f t="shared" si="3"/>
        <v>5.0245896625846438</v>
      </c>
      <c r="G17" s="97">
        <f t="shared" si="3"/>
        <v>5.4207962059770587</v>
      </c>
      <c r="H17" s="97">
        <f t="shared" si="3"/>
        <v>5.8511479624035445</v>
      </c>
      <c r="I17" s="97">
        <f t="shared" si="3"/>
        <v>6.3111195771127466</v>
      </c>
      <c r="J17" s="97">
        <f t="shared" si="3"/>
        <v>6.6925128741700881</v>
      </c>
      <c r="K17" s="97">
        <f t="shared" si="3"/>
        <v>7.0252958033869728</v>
      </c>
      <c r="L17" s="97">
        <f t="shared" si="3"/>
        <v>7.2735120705128296</v>
      </c>
      <c r="M17" s="17"/>
      <c r="N17" s="17"/>
      <c r="O17" s="17"/>
    </row>
    <row r="18" spans="2:15" ht="15" customHeight="1" x14ac:dyDescent="0.2">
      <c r="B18" s="84" t="s">
        <v>144</v>
      </c>
      <c r="C18" s="55">
        <f>C17/3.71-1</f>
        <v>7.8171488961281455E-2</v>
      </c>
      <c r="D18" s="55">
        <f t="shared" ref="D18:L18" si="4">D17/C17-1</f>
        <v>7.8703175730057362E-2</v>
      </c>
      <c r="E18" s="55">
        <f t="shared" si="4"/>
        <v>7.9262966581617134E-2</v>
      </c>
      <c r="F18" s="55">
        <f t="shared" si="4"/>
        <v>7.8970610356870585E-2</v>
      </c>
      <c r="G18" s="55">
        <f t="shared" si="4"/>
        <v>7.8853512425650862E-2</v>
      </c>
      <c r="H18" s="55">
        <f t="shared" si="4"/>
        <v>7.9389030702163854E-2</v>
      </c>
      <c r="I18" s="55">
        <f t="shared" si="4"/>
        <v>7.8612200146833011E-2</v>
      </c>
      <c r="J18" s="55">
        <f t="shared" si="4"/>
        <v>6.043195543948543E-2</v>
      </c>
      <c r="K18" s="55">
        <f t="shared" si="4"/>
        <v>4.9724660299312662E-2</v>
      </c>
      <c r="L18" s="55">
        <f t="shared" si="4"/>
        <v>3.5331788734958236E-2</v>
      </c>
    </row>
    <row r="19" spans="2:15" ht="15" customHeight="1" x14ac:dyDescent="0.2">
      <c r="B19" s="84" t="s">
        <v>145</v>
      </c>
      <c r="C19" s="97">
        <f>'DDM Model'!C21</f>
        <v>2.4972270000000001</v>
      </c>
      <c r="D19" s="97">
        <f>'DDM Model'!D21</f>
        <v>2.6470606200000004</v>
      </c>
      <c r="E19" s="97">
        <f>'DDM Model'!E21</f>
        <v>2.8058842572000007</v>
      </c>
      <c r="F19" s="97">
        <f>'DDM Model'!F21</f>
        <v>2.9622120943868575</v>
      </c>
      <c r="G19" s="97">
        <f>'DDM Model'!G21</f>
        <v>3.1145544306696102</v>
      </c>
      <c r="H19" s="97">
        <f>'DDM Model'!H21</f>
        <v>3.2613834252583205</v>
      </c>
      <c r="I19" s="97">
        <f>'DDM Model'!I21</f>
        <v>3.4011570006265344</v>
      </c>
      <c r="J19" s="97">
        <f>'DDM Model'!J21</f>
        <v>3.5323444849364156</v>
      </c>
      <c r="K19" s="97">
        <f>'DDM Model'!K21</f>
        <v>3.6534534387056641</v>
      </c>
      <c r="L19" s="97">
        <f>'DDM Model'!L21</f>
        <v>3.7630570418668343</v>
      </c>
      <c r="M19" s="17"/>
      <c r="N19" s="17"/>
      <c r="O19" s="17"/>
    </row>
    <row r="20" spans="2:15" ht="15" customHeight="1" x14ac:dyDescent="0.2">
      <c r="B20" s="84" t="s">
        <v>146</v>
      </c>
      <c r="C20" s="104">
        <v>0.61</v>
      </c>
      <c r="D20" s="104">
        <v>0.61</v>
      </c>
      <c r="E20" s="104">
        <v>0.6</v>
      </c>
      <c r="F20" s="104">
        <v>0.57999999999999996</v>
      </c>
      <c r="G20" s="104">
        <v>0.54</v>
      </c>
      <c r="H20" s="104">
        <v>0.48</v>
      </c>
      <c r="I20" s="104">
        <v>0.42</v>
      </c>
      <c r="J20" s="104">
        <v>0.36</v>
      </c>
      <c r="K20" s="104">
        <v>0.3</v>
      </c>
      <c r="L20" s="104">
        <v>0.24</v>
      </c>
      <c r="M20" s="17"/>
      <c r="N20" s="17"/>
      <c r="O20" s="17"/>
    </row>
    <row r="21" spans="2:15" ht="15" customHeight="1" x14ac:dyDescent="0.2">
      <c r="B21" s="84" t="s">
        <v>147</v>
      </c>
      <c r="C21" s="97">
        <f t="shared" ref="C21:L21" si="5">C15+(C17-C19)+C20</f>
        <v>28.480727418155478</v>
      </c>
      <c r="D21" s="97">
        <f t="shared" si="5"/>
        <v>30.758497002006031</v>
      </c>
      <c r="E21" s="97">
        <f t="shared" si="5"/>
        <v>33.209449190909744</v>
      </c>
      <c r="F21" s="97">
        <f t="shared" si="5"/>
        <v>35.851826759107531</v>
      </c>
      <c r="G21" s="97">
        <f t="shared" si="5"/>
        <v>38.698068534414979</v>
      </c>
      <c r="H21" s="97">
        <f t="shared" si="5"/>
        <v>41.767833071560197</v>
      </c>
      <c r="I21" s="97">
        <f t="shared" si="5"/>
        <v>45.097795648046414</v>
      </c>
      <c r="J21" s="97">
        <f t="shared" si="5"/>
        <v>48.617964037280089</v>
      </c>
      <c r="K21" s="97">
        <f t="shared" si="5"/>
        <v>52.289806401961393</v>
      </c>
      <c r="L21" s="97">
        <f t="shared" si="5"/>
        <v>56.040261430607387</v>
      </c>
      <c r="M21" s="17"/>
      <c r="N21" s="17"/>
      <c r="O21" s="17"/>
    </row>
    <row r="22" spans="2:15" ht="15" customHeight="1" x14ac:dyDescent="0.2">
      <c r="B22" s="84" t="s">
        <v>148</v>
      </c>
      <c r="C22" s="97">
        <f t="shared" ref="C22:L22" si="6">$D$6*C15</f>
        <v>1.7284650306883522</v>
      </c>
      <c r="D22" s="97">
        <f t="shared" si="6"/>
        <v>1.8669621048280045</v>
      </c>
      <c r="E22" s="97">
        <f t="shared" si="6"/>
        <v>2.0162739336357198</v>
      </c>
      <c r="F22" s="97">
        <f t="shared" si="6"/>
        <v>2.1769381888089057</v>
      </c>
      <c r="G22" s="97">
        <f t="shared" si="6"/>
        <v>2.3501507164962461</v>
      </c>
      <c r="H22" s="97">
        <f t="shared" si="6"/>
        <v>2.5367269038828786</v>
      </c>
      <c r="I22" s="97">
        <f t="shared" si="6"/>
        <v>2.7379554040349361</v>
      </c>
      <c r="J22" s="97">
        <f t="shared" si="6"/>
        <v>2.9562403463230367</v>
      </c>
      <c r="K22" s="97">
        <f t="shared" si="6"/>
        <v>3.186993616379028</v>
      </c>
      <c r="L22" s="97">
        <f t="shared" si="6"/>
        <v>3.4276893840507516</v>
      </c>
      <c r="M22" s="17"/>
      <c r="N22" s="17"/>
      <c r="O22" s="17"/>
    </row>
    <row r="23" spans="2:15" ht="15" customHeight="1" x14ac:dyDescent="0.2">
      <c r="B23" s="84" t="s">
        <v>149</v>
      </c>
      <c r="C23" s="97">
        <f t="shared" ref="C23:L23" si="7">C17-C22</f>
        <v>2.2715511933580022</v>
      </c>
      <c r="D23" s="97">
        <f t="shared" si="7"/>
        <v>2.4478680990225503</v>
      </c>
      <c r="E23" s="97">
        <f t="shared" si="7"/>
        <v>2.6405625124679935</v>
      </c>
      <c r="F23" s="97">
        <f t="shared" si="7"/>
        <v>2.8476514737757381</v>
      </c>
      <c r="G23" s="97">
        <f t="shared" si="7"/>
        <v>3.0706454894808126</v>
      </c>
      <c r="H23" s="97">
        <f t="shared" si="7"/>
        <v>3.3144210585206659</v>
      </c>
      <c r="I23" s="97">
        <f t="shared" si="7"/>
        <v>3.5731641730778105</v>
      </c>
      <c r="J23" s="97">
        <f t="shared" si="7"/>
        <v>3.7362725278470514</v>
      </c>
      <c r="K23" s="97">
        <f t="shared" si="7"/>
        <v>3.8383021870079448</v>
      </c>
      <c r="L23" s="97">
        <f t="shared" si="7"/>
        <v>3.8458226864620779</v>
      </c>
      <c r="M23" s="17"/>
      <c r="N23" s="17"/>
      <c r="O23" s="17"/>
    </row>
    <row r="24" spans="2:15" ht="15" customHeight="1" x14ac:dyDescent="0.2">
      <c r="B24" s="84" t="s">
        <v>118</v>
      </c>
      <c r="C24" s="105">
        <f t="shared" ref="C24:L24" si="8">IFERROR(1/(1+$D$6)^C14,"")</f>
        <v>0.93848091455482685</v>
      </c>
      <c r="D24" s="105">
        <f t="shared" si="8"/>
        <v>0.88074642698366434</v>
      </c>
      <c r="E24" s="105">
        <f t="shared" si="8"/>
        <v>0.82656371228652536</v>
      </c>
      <c r="F24" s="105">
        <f t="shared" si="8"/>
        <v>0.775714268644491</v>
      </c>
      <c r="G24" s="105">
        <f t="shared" si="8"/>
        <v>0.72799303627071066</v>
      </c>
      <c r="H24" s="105">
        <f t="shared" si="8"/>
        <v>0.6832075704688817</v>
      </c>
      <c r="I24" s="105">
        <f t="shared" si="8"/>
        <v>0.64117726556441756</v>
      </c>
      <c r="J24" s="105">
        <f t="shared" si="8"/>
        <v>0.60173262657865767</v>
      </c>
      <c r="K24" s="105">
        <f t="shared" si="8"/>
        <v>0.56471458570901678</v>
      </c>
      <c r="L24" s="105">
        <f t="shared" si="8"/>
        <v>0.52997386085864817</v>
      </c>
      <c r="M24" s="17"/>
      <c r="N24" s="17"/>
      <c r="O24" s="17"/>
    </row>
    <row r="25" spans="2:15" ht="15.75" customHeight="1" x14ac:dyDescent="0.2">
      <c r="B25" s="84" t="s">
        <v>150</v>
      </c>
      <c r="C25" s="97">
        <f t="shared" ref="C25:L25" si="9">IFERROR(C23*C24,"")</f>
        <v>2.131807441400726</v>
      </c>
      <c r="D25" s="97">
        <f t="shared" si="9"/>
        <v>2.1559510819414061</v>
      </c>
      <c r="E25" s="97">
        <f t="shared" si="9"/>
        <v>2.182593152830179</v>
      </c>
      <c r="F25" s="97">
        <f t="shared" si="9"/>
        <v>2.2089638803343536</v>
      </c>
      <c r="G25" s="97">
        <f t="shared" si="9"/>
        <v>2.2354085331980995</v>
      </c>
      <c r="H25" s="97">
        <f t="shared" si="9"/>
        <v>2.2644375589028032</v>
      </c>
      <c r="I25" s="97">
        <f t="shared" si="9"/>
        <v>2.291031633906774</v>
      </c>
      <c r="J25" s="97">
        <f t="shared" si="9"/>
        <v>2.2482370817950872</v>
      </c>
      <c r="K25" s="97">
        <f t="shared" si="9"/>
        <v>2.1675452293622044</v>
      </c>
      <c r="L25" s="97">
        <f t="shared" si="9"/>
        <v>2.0381854973220856</v>
      </c>
      <c r="M25" s="17"/>
      <c r="N25" s="17"/>
      <c r="O25" s="17"/>
    </row>
    <row r="26" spans="2:15" ht="15" customHeight="1" x14ac:dyDescent="0.2">
      <c r="B26" s="17"/>
      <c r="C26" s="17"/>
      <c r="D26" s="17"/>
      <c r="E26" s="17"/>
      <c r="F26" s="17"/>
      <c r="G26" s="17"/>
      <c r="H26" s="17"/>
      <c r="I26" s="17"/>
      <c r="J26" s="17"/>
      <c r="K26" s="17"/>
      <c r="L26" s="17"/>
      <c r="M26" s="17"/>
      <c r="N26" s="17"/>
      <c r="O26" s="17"/>
    </row>
    <row r="27" spans="2:15" ht="15" customHeight="1" x14ac:dyDescent="0.2">
      <c r="B27" s="49" t="s">
        <v>124</v>
      </c>
      <c r="C27" s="82"/>
      <c r="D27" s="82"/>
      <c r="E27" s="17"/>
      <c r="F27" s="17"/>
      <c r="G27" s="17"/>
      <c r="H27" s="17"/>
      <c r="I27" s="17"/>
      <c r="J27" s="17"/>
      <c r="K27" s="17"/>
      <c r="L27" s="17"/>
      <c r="M27" s="17"/>
      <c r="N27" s="17"/>
      <c r="O27" s="17"/>
    </row>
    <row r="28" spans="2:15" ht="15" customHeight="1" x14ac:dyDescent="0.2">
      <c r="B28" s="84" t="s">
        <v>151</v>
      </c>
      <c r="C28" s="17"/>
      <c r="D28" s="97">
        <f>D7</f>
        <v>26.367938194109126</v>
      </c>
      <c r="E28" s="17"/>
      <c r="F28" s="17"/>
      <c r="G28" s="17"/>
      <c r="H28" s="17"/>
      <c r="I28" s="17"/>
      <c r="J28" s="17"/>
      <c r="K28" s="17"/>
      <c r="L28" s="17"/>
      <c r="M28" s="17"/>
      <c r="N28" s="17"/>
      <c r="O28" s="17"/>
    </row>
    <row r="29" spans="2:15" ht="15" customHeight="1" x14ac:dyDescent="0.2">
      <c r="B29" s="84" t="s">
        <v>152</v>
      </c>
      <c r="C29" s="17"/>
      <c r="D29" s="97">
        <f>SUM(C25:L25)</f>
        <v>21.924161090993721</v>
      </c>
      <c r="E29" s="17"/>
      <c r="F29" s="17"/>
      <c r="G29" s="17"/>
      <c r="H29" s="17"/>
      <c r="I29" s="17"/>
      <c r="J29" s="17"/>
      <c r="K29" s="17"/>
      <c r="L29" s="17"/>
      <c r="M29" s="17"/>
      <c r="N29" s="17"/>
      <c r="O29" s="17"/>
    </row>
    <row r="30" spans="2:15" ht="15" customHeight="1" x14ac:dyDescent="0.2">
      <c r="B30" s="84" t="s">
        <v>153</v>
      </c>
      <c r="C30" s="17"/>
      <c r="D30" s="97">
        <f>IFERROR(L23*(1+$D$8)/($D$6-$D$8),0)</f>
        <v>111.42053746861745</v>
      </c>
      <c r="E30" s="17"/>
      <c r="F30" s="17"/>
      <c r="G30" s="17"/>
      <c r="H30" s="17"/>
      <c r="I30" s="17"/>
      <c r="J30" s="17"/>
      <c r="K30" s="17"/>
      <c r="L30" s="17"/>
      <c r="M30" s="17"/>
      <c r="N30" s="17"/>
      <c r="O30" s="17"/>
    </row>
    <row r="31" spans="2:15" ht="15" customHeight="1" x14ac:dyDescent="0.2">
      <c r="B31" s="84" t="s">
        <v>154</v>
      </c>
      <c r="C31" s="17"/>
      <c r="D31" s="97">
        <f>IFERROR(D30*L24,0)</f>
        <v>59.049972421188862</v>
      </c>
      <c r="E31" s="17"/>
      <c r="F31" s="17"/>
      <c r="G31" s="17"/>
      <c r="H31" s="17"/>
      <c r="I31" s="17"/>
      <c r="J31" s="17"/>
      <c r="K31" s="17"/>
      <c r="L31" s="17"/>
      <c r="M31" s="17"/>
      <c r="N31" s="17"/>
      <c r="O31" s="17"/>
    </row>
    <row r="32" spans="2:15" ht="15" customHeight="1" x14ac:dyDescent="0.2">
      <c r="B32" s="106" t="s">
        <v>155</v>
      </c>
      <c r="C32" s="17"/>
      <c r="D32" s="107">
        <f>D28+D29+D31</f>
        <v>107.3420717062917</v>
      </c>
      <c r="E32" s="17"/>
      <c r="F32" s="17"/>
      <c r="G32" s="17"/>
      <c r="H32" s="17"/>
      <c r="I32" s="17"/>
      <c r="J32" s="17"/>
      <c r="K32" s="17"/>
      <c r="L32" s="17"/>
      <c r="M32" s="17"/>
      <c r="N32" s="17"/>
      <c r="O32" s="17"/>
    </row>
    <row r="33" spans="2:15" ht="15" customHeight="1" x14ac:dyDescent="0.2">
      <c r="B33" s="84" t="s">
        <v>128</v>
      </c>
      <c r="C33" s="17"/>
      <c r="D33" s="97">
        <f>'DDM Model'!D13</f>
        <v>86.55</v>
      </c>
      <c r="E33" s="17"/>
      <c r="F33" s="17"/>
      <c r="G33" s="17"/>
      <c r="H33" s="17"/>
      <c r="I33" s="17"/>
      <c r="J33" s="17"/>
      <c r="K33" s="17"/>
      <c r="L33" s="17"/>
      <c r="M33" s="17"/>
      <c r="N33" s="17"/>
      <c r="O33" s="17"/>
    </row>
    <row r="34" spans="2:15" ht="15.75" customHeight="1" x14ac:dyDescent="0.2">
      <c r="B34" s="84" t="s">
        <v>129</v>
      </c>
      <c r="C34" s="17"/>
      <c r="D34" s="55">
        <f>IFERROR(D32/D33-1,"")</f>
        <v>0.24023190879597589</v>
      </c>
      <c r="E34" s="17"/>
      <c r="F34" s="17"/>
      <c r="G34" s="17"/>
      <c r="H34" s="17"/>
      <c r="I34" s="17"/>
      <c r="J34" s="17"/>
      <c r="K34" s="17"/>
      <c r="L34" s="17"/>
      <c r="M34" s="17"/>
      <c r="N34" s="17"/>
      <c r="O34" s="17"/>
    </row>
    <row r="35" spans="2:15" ht="15" customHeight="1" x14ac:dyDescent="0.2">
      <c r="B35" s="17"/>
      <c r="C35" s="17"/>
      <c r="D35" s="17"/>
      <c r="E35" s="17"/>
      <c r="F35" s="17"/>
      <c r="G35" s="17"/>
      <c r="H35" s="17"/>
      <c r="I35" s="17"/>
      <c r="J35" s="17"/>
      <c r="K35" s="17"/>
      <c r="L35" s="17"/>
      <c r="M35" s="17"/>
      <c r="N35" s="17"/>
      <c r="O35" s="17"/>
    </row>
    <row r="36" spans="2:15" ht="15" customHeight="1" x14ac:dyDescent="0.2">
      <c r="B36" s="49" t="s">
        <v>130</v>
      </c>
      <c r="C36" s="82"/>
      <c r="D36" s="82"/>
      <c r="E36" s="82"/>
      <c r="F36" s="82"/>
      <c r="G36" s="82"/>
      <c r="H36" s="82"/>
      <c r="I36" s="82"/>
      <c r="J36" s="82"/>
      <c r="K36" s="82"/>
      <c r="L36" s="82"/>
      <c r="M36" s="17"/>
      <c r="N36" s="17"/>
      <c r="O36" s="17"/>
    </row>
    <row r="37" spans="2:15" ht="15" customHeight="1" x14ac:dyDescent="0.2">
      <c r="B37" s="84" t="s">
        <v>156</v>
      </c>
      <c r="C37" s="55">
        <f t="shared" ref="C37:L37" si="10">C16</f>
        <v>0.1517</v>
      </c>
      <c r="D37" s="55">
        <f t="shared" si="10"/>
        <v>0.1515</v>
      </c>
      <c r="E37" s="55">
        <f t="shared" si="10"/>
        <v>0.15140000000000001</v>
      </c>
      <c r="F37" s="55">
        <f t="shared" si="10"/>
        <v>0.15129999999999999</v>
      </c>
      <c r="G37" s="55">
        <f t="shared" si="10"/>
        <v>0.1512</v>
      </c>
      <c r="H37" s="55">
        <f t="shared" si="10"/>
        <v>0.1512</v>
      </c>
      <c r="I37" s="55">
        <f t="shared" si="10"/>
        <v>0.15110000000000001</v>
      </c>
      <c r="J37" s="55">
        <f t="shared" si="10"/>
        <v>0.1484</v>
      </c>
      <c r="K37" s="55">
        <f t="shared" si="10"/>
        <v>0.14449999999999999</v>
      </c>
      <c r="L37" s="55">
        <f t="shared" si="10"/>
        <v>0.1391</v>
      </c>
      <c r="M37" s="17"/>
      <c r="N37" s="17"/>
      <c r="O37" s="17"/>
    </row>
    <row r="38" spans="2:15" ht="15" customHeight="1" x14ac:dyDescent="0.2">
      <c r="B38" s="84" t="s">
        <v>157</v>
      </c>
      <c r="C38" s="55">
        <f>'3-Statement Model'!M30/(('3-Statement Model'!L53+'3-Statement Model'!M53)/2)</f>
        <v>0.13556924289522507</v>
      </c>
      <c r="D38" s="55">
        <f>'3-Statement Model'!N30/(('3-Statement Model'!M53+'3-Statement Model'!N53)/2)</f>
        <v>0.1223730002068466</v>
      </c>
      <c r="E38" s="55">
        <f>'3-Statement Model'!O30/(('3-Statement Model'!N53+'3-Statement Model'!O53)/2)</f>
        <v>0.11440151313407963</v>
      </c>
      <c r="F38" s="55">
        <f>'3-Statement Model'!P30/(('3-Statement Model'!O53+'3-Statement Model'!P53)/2)</f>
        <v>0.10940911761090662</v>
      </c>
      <c r="G38" s="55">
        <f>'3-Statement Model'!Q30/(('3-Statement Model'!P53+'3-Statement Model'!Q53)/2)</f>
        <v>0.10394496035266407</v>
      </c>
      <c r="H38" s="55">
        <f>'3-Statement Model'!R30/(('3-Statement Model'!Q53+'3-Statement Model'!R53)/2)</f>
        <v>0.10416036629337168</v>
      </c>
      <c r="I38" s="55">
        <f>'3-Statement Model'!S30/(('3-Statement Model'!R53+'3-Statement Model'!S53)/2)</f>
        <v>0.10511880098726334</v>
      </c>
      <c r="J38" s="55">
        <f>'3-Statement Model'!T30/(('3-Statement Model'!S53+'3-Statement Model'!T53)/2)</f>
        <v>0.10699251770810315</v>
      </c>
      <c r="K38" s="55">
        <f>'3-Statement Model'!U30/(('3-Statement Model'!T53+'3-Statement Model'!U53)/2)</f>
        <v>0.11023377932582044</v>
      </c>
      <c r="L38" s="55">
        <f>'3-Statement Model'!V30/(('3-Statement Model'!U53+'3-Statement Model'!V53)/2)</f>
        <v>0.11439602911423702</v>
      </c>
      <c r="M38" s="17"/>
      <c r="N38" s="17"/>
      <c r="O38" s="17"/>
    </row>
    <row r="39" spans="2:15" ht="15.75" customHeight="1" x14ac:dyDescent="0.2">
      <c r="B39" s="84" t="s">
        <v>158</v>
      </c>
      <c r="C39" s="55">
        <f t="shared" ref="C39:L39" si="11">C37-C38</f>
        <v>1.6130757104774934E-2</v>
      </c>
      <c r="D39" s="55">
        <f t="shared" si="11"/>
        <v>2.9126999793153391E-2</v>
      </c>
      <c r="E39" s="55">
        <f t="shared" si="11"/>
        <v>3.6998486865920374E-2</v>
      </c>
      <c r="F39" s="55">
        <f t="shared" si="11"/>
        <v>4.1890882389093373E-2</v>
      </c>
      <c r="G39" s="55">
        <f t="shared" si="11"/>
        <v>4.7255039647335934E-2</v>
      </c>
      <c r="H39" s="55">
        <f t="shared" si="11"/>
        <v>4.7039633706628323E-2</v>
      </c>
      <c r="I39" s="55">
        <f t="shared" si="11"/>
        <v>4.5981199012736673E-2</v>
      </c>
      <c r="J39" s="55">
        <f t="shared" si="11"/>
        <v>4.1407482291896849E-2</v>
      </c>
      <c r="K39" s="55">
        <f t="shared" si="11"/>
        <v>3.4266220674179546E-2</v>
      </c>
      <c r="L39" s="55">
        <f t="shared" si="11"/>
        <v>2.4703970885762983E-2</v>
      </c>
      <c r="M39" s="17"/>
      <c r="N39" s="17"/>
      <c r="O39" s="17"/>
    </row>
    <row r="40" spans="2:15" ht="15.75" customHeight="1" x14ac:dyDescent="0.2">
      <c r="B40" s="17"/>
      <c r="C40" s="17"/>
      <c r="D40" s="17"/>
      <c r="E40" s="17"/>
      <c r="F40" s="17"/>
      <c r="G40" s="17"/>
      <c r="H40" s="17"/>
      <c r="I40" s="17"/>
      <c r="J40" s="17"/>
      <c r="K40" s="17"/>
      <c r="L40" s="17"/>
      <c r="M40" s="17"/>
      <c r="N40" s="17"/>
      <c r="O40" s="17"/>
    </row>
    <row r="41" spans="2:15" ht="15.75" customHeight="1" x14ac:dyDescent="0.2">
      <c r="B41" s="17"/>
      <c r="C41" s="17"/>
      <c r="D41" s="17"/>
      <c r="E41" s="17"/>
      <c r="F41" s="17"/>
      <c r="G41" s="17"/>
      <c r="H41" s="17"/>
      <c r="I41" s="17"/>
      <c r="J41" s="17"/>
      <c r="K41" s="17"/>
      <c r="L41" s="17"/>
      <c r="M41" s="17"/>
      <c r="N41" s="17"/>
      <c r="O41" s="17"/>
    </row>
    <row r="42" spans="2:15" ht="15.75" customHeight="1" x14ac:dyDescent="0.2">
      <c r="B42" s="17"/>
      <c r="C42" s="17"/>
      <c r="D42" s="17"/>
      <c r="E42" s="17"/>
      <c r="F42" s="17"/>
      <c r="G42" s="17"/>
      <c r="H42" s="17"/>
      <c r="I42" s="17"/>
      <c r="J42" s="17"/>
      <c r="K42" s="17"/>
      <c r="L42" s="17"/>
      <c r="M42" s="17"/>
      <c r="N42" s="17"/>
      <c r="O42" s="17"/>
    </row>
    <row r="43" spans="2:15" ht="15.75" customHeight="1" x14ac:dyDescent="0.2">
      <c r="B43" s="17"/>
      <c r="C43" s="17"/>
      <c r="D43" s="17"/>
      <c r="E43" s="17"/>
      <c r="F43" s="17"/>
      <c r="G43" s="17"/>
      <c r="H43" s="17"/>
      <c r="I43" s="17"/>
      <c r="J43" s="17"/>
      <c r="K43" s="17"/>
      <c r="L43" s="17"/>
      <c r="M43" s="17"/>
      <c r="N43" s="17"/>
      <c r="O43" s="17"/>
    </row>
    <row r="44" spans="2:15" ht="15.75" customHeight="1" x14ac:dyDescent="0.2">
      <c r="B44" s="17"/>
      <c r="C44" s="17"/>
      <c r="D44" s="17"/>
      <c r="E44" s="17"/>
      <c r="F44" s="17"/>
      <c r="G44" s="17"/>
      <c r="H44" s="17"/>
      <c r="I44" s="17"/>
      <c r="J44" s="17"/>
      <c r="K44" s="17"/>
      <c r="L44" s="17"/>
      <c r="M44" s="17"/>
      <c r="N44" s="17"/>
      <c r="O44" s="17"/>
    </row>
    <row r="45" spans="2:15" ht="15.75" customHeight="1" x14ac:dyDescent="0.2">
      <c r="B45" s="17"/>
      <c r="C45" s="17"/>
      <c r="D45" s="17"/>
      <c r="E45" s="17"/>
      <c r="F45" s="17"/>
      <c r="G45" s="17"/>
      <c r="H45" s="17"/>
      <c r="I45" s="17"/>
      <c r="J45" s="17"/>
      <c r="K45" s="17"/>
      <c r="L45" s="17"/>
      <c r="M45" s="17"/>
      <c r="N45" s="17"/>
      <c r="O45" s="17"/>
    </row>
    <row r="46" spans="2:15" ht="15.75" customHeight="1" x14ac:dyDescent="0.2">
      <c r="B46" s="17"/>
      <c r="C46" s="17"/>
      <c r="D46" s="17"/>
      <c r="E46" s="17"/>
      <c r="F46" s="17"/>
      <c r="G46" s="17"/>
      <c r="H46" s="17"/>
      <c r="I46" s="17"/>
      <c r="J46" s="17"/>
      <c r="K46" s="17"/>
      <c r="L46" s="17"/>
      <c r="M46" s="17"/>
      <c r="N46" s="17"/>
      <c r="O46" s="17"/>
    </row>
    <row r="47" spans="2:15" ht="15.75" customHeight="1" x14ac:dyDescent="0.2">
      <c r="B47" s="17"/>
      <c r="C47" s="17"/>
      <c r="D47" s="17"/>
      <c r="E47" s="17"/>
      <c r="F47" s="17"/>
      <c r="G47" s="17"/>
      <c r="H47" s="17"/>
      <c r="I47" s="17"/>
      <c r="J47" s="17"/>
      <c r="K47" s="17"/>
      <c r="L47" s="17"/>
      <c r="M47" s="17"/>
      <c r="N47" s="17"/>
      <c r="O47" s="17"/>
    </row>
    <row r="48" spans="2:15" ht="15.75" customHeight="1" x14ac:dyDescent="0.2">
      <c r="B48" s="17"/>
      <c r="C48" s="17"/>
      <c r="D48" s="17"/>
      <c r="E48" s="17"/>
      <c r="F48" s="17"/>
      <c r="G48" s="17"/>
      <c r="H48" s="17"/>
      <c r="I48" s="17"/>
      <c r="J48" s="17"/>
      <c r="K48" s="17"/>
      <c r="L48" s="17"/>
      <c r="M48" s="17"/>
      <c r="N48" s="17"/>
      <c r="O48" s="17"/>
    </row>
    <row r="49" spans="2:15" ht="15.75" customHeight="1" x14ac:dyDescent="0.2">
      <c r="B49" s="17"/>
      <c r="C49" s="17"/>
      <c r="D49" s="17"/>
      <c r="E49" s="17"/>
      <c r="F49" s="17"/>
      <c r="G49" s="17"/>
      <c r="H49" s="17"/>
      <c r="I49" s="17"/>
      <c r="J49" s="17"/>
      <c r="K49" s="17"/>
      <c r="L49" s="17"/>
      <c r="M49" s="17"/>
      <c r="N49" s="17"/>
      <c r="O49" s="17"/>
    </row>
    <row r="50" spans="2:15" ht="15.75" customHeight="1" x14ac:dyDescent="0.2">
      <c r="B50" s="17"/>
      <c r="C50" s="17"/>
      <c r="D50" s="17"/>
      <c r="E50" s="17"/>
      <c r="F50" s="17"/>
      <c r="G50" s="17"/>
      <c r="H50" s="17"/>
      <c r="I50" s="17"/>
      <c r="J50" s="17"/>
      <c r="K50" s="17"/>
      <c r="L50" s="17"/>
      <c r="M50" s="17"/>
      <c r="N50" s="17"/>
      <c r="O50" s="17"/>
    </row>
    <row r="51" spans="2:15" ht="15.75" customHeight="1" x14ac:dyDescent="0.2">
      <c r="B51" s="17"/>
      <c r="C51" s="17"/>
      <c r="D51" s="17"/>
      <c r="E51" s="17"/>
      <c r="F51" s="17"/>
      <c r="G51" s="17"/>
      <c r="H51" s="17"/>
      <c r="I51" s="17"/>
      <c r="J51" s="17"/>
      <c r="K51" s="17"/>
      <c r="L51" s="17"/>
      <c r="M51" s="17"/>
      <c r="N51" s="17"/>
      <c r="O51" s="17"/>
    </row>
    <row r="52" spans="2:15" ht="15.75" customHeight="1" x14ac:dyDescent="0.2">
      <c r="B52" s="17"/>
      <c r="C52" s="17"/>
      <c r="D52" s="17"/>
      <c r="E52" s="17"/>
      <c r="F52" s="17"/>
      <c r="G52" s="17"/>
      <c r="H52" s="17"/>
      <c r="I52" s="17"/>
      <c r="J52" s="17"/>
      <c r="K52" s="17"/>
      <c r="L52" s="17"/>
      <c r="M52" s="17"/>
      <c r="N52" s="17"/>
      <c r="O52" s="17"/>
    </row>
    <row r="53" spans="2:15" ht="15.75" customHeight="1" x14ac:dyDescent="0.2">
      <c r="B53" s="17"/>
      <c r="C53" s="17"/>
      <c r="D53" s="17"/>
      <c r="E53" s="17"/>
      <c r="F53" s="17"/>
      <c r="G53" s="17"/>
      <c r="H53" s="17"/>
      <c r="I53" s="17"/>
      <c r="J53" s="17"/>
      <c r="K53" s="17"/>
      <c r="L53" s="17"/>
      <c r="M53" s="17"/>
      <c r="N53" s="17"/>
      <c r="O53" s="17"/>
    </row>
  </sheetData>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81E5D"/>
  </sheetPr>
  <dimension ref="A1:V71"/>
  <sheetViews>
    <sheetView showGridLines="0" topLeftCell="B1" zoomScaleNormal="100" workbookViewId="0">
      <pane ySplit="3" topLeftCell="A23" activePane="bottomLeft" state="frozen"/>
      <selection pane="bottomLeft" activeCell="B54" sqref="B54"/>
    </sheetView>
  </sheetViews>
  <sheetFormatPr baseColWidth="10" defaultColWidth="8.5703125" defaultRowHeight="16" x14ac:dyDescent="0.2"/>
  <cols>
    <col min="1" max="1" width="1.7109375" customWidth="1"/>
    <col min="2" max="2" width="33.42578125" customWidth="1"/>
    <col min="3" max="3" width="13.7109375" customWidth="1"/>
    <col min="4" max="4" width="15.5703125" customWidth="1"/>
    <col min="5" max="5" width="29.7109375" customWidth="1"/>
    <col min="6" max="6" width="13.28515625" customWidth="1"/>
    <col min="7" max="9" width="11" customWidth="1"/>
    <col min="11" max="12" width="12" customWidth="1"/>
    <col min="13" max="13" width="11" customWidth="1"/>
    <col min="14" max="17" width="9" customWidth="1"/>
  </cols>
  <sheetData>
    <row r="1" spans="1:22" ht="9.75" customHeight="1" x14ac:dyDescent="0.2"/>
    <row r="2" spans="1:22" ht="18" customHeight="1" x14ac:dyDescent="0.2">
      <c r="B2" s="1" t="s">
        <v>159</v>
      </c>
      <c r="C2" s="1"/>
      <c r="D2" s="1"/>
    </row>
    <row r="3" spans="1:22" ht="15.75" customHeight="1" x14ac:dyDescent="0.2">
      <c r="B3" s="108" t="s">
        <v>160</v>
      </c>
      <c r="C3" s="17"/>
      <c r="D3" s="17"/>
      <c r="E3" s="17"/>
      <c r="F3" s="17"/>
      <c r="G3" s="17"/>
      <c r="H3" s="17"/>
      <c r="I3" s="17"/>
      <c r="J3" s="17"/>
      <c r="K3" s="17"/>
      <c r="L3" s="17"/>
      <c r="M3" s="17"/>
      <c r="N3" s="17"/>
      <c r="O3" s="17"/>
      <c r="P3" s="17"/>
      <c r="Q3" s="17"/>
      <c r="R3" s="17"/>
      <c r="S3" s="17"/>
      <c r="T3" s="17"/>
      <c r="U3" s="17"/>
      <c r="V3" s="17"/>
    </row>
    <row r="4" spans="1:22" ht="15.75" customHeight="1" x14ac:dyDescent="0.2">
      <c r="A4" s="109"/>
      <c r="B4" s="109"/>
      <c r="C4" s="109"/>
      <c r="D4" s="109"/>
      <c r="E4" s="109"/>
      <c r="F4" s="109"/>
      <c r="G4" s="109"/>
      <c r="H4" s="109"/>
      <c r="I4" s="109"/>
      <c r="J4" s="109"/>
      <c r="K4" s="109"/>
      <c r="L4" s="109"/>
      <c r="M4" s="109"/>
      <c r="N4" s="109"/>
      <c r="O4" s="109"/>
      <c r="P4" s="109"/>
      <c r="Q4" s="109"/>
      <c r="R4" s="17"/>
      <c r="S4" s="17"/>
      <c r="T4" s="17"/>
      <c r="U4" s="17"/>
      <c r="V4" s="17"/>
    </row>
    <row r="5" spans="1:22" ht="15.75" customHeight="1" x14ac:dyDescent="0.2">
      <c r="A5" s="109"/>
      <c r="B5" s="110" t="s">
        <v>161</v>
      </c>
      <c r="C5" s="110"/>
      <c r="D5" s="110"/>
      <c r="E5" s="111"/>
      <c r="F5" s="109"/>
      <c r="G5" s="109"/>
      <c r="H5" s="109"/>
      <c r="I5" s="109"/>
      <c r="J5" s="109"/>
      <c r="K5" s="109"/>
      <c r="L5" s="109"/>
      <c r="M5" s="109"/>
      <c r="N5" s="109"/>
      <c r="O5" s="109"/>
      <c r="P5" s="109"/>
      <c r="Q5" s="109"/>
      <c r="R5" s="17"/>
      <c r="S5" s="17"/>
      <c r="T5" s="17"/>
      <c r="U5" s="17"/>
      <c r="V5" s="17"/>
    </row>
    <row r="6" spans="1:22" ht="15.75" customHeight="1" x14ac:dyDescent="0.2">
      <c r="A6" s="109"/>
      <c r="B6" s="112" t="s">
        <v>162</v>
      </c>
      <c r="C6" s="112" t="s">
        <v>163</v>
      </c>
      <c r="D6" s="112" t="s">
        <v>164</v>
      </c>
      <c r="E6" s="113"/>
      <c r="F6" s="109"/>
      <c r="G6" s="109"/>
      <c r="H6" s="109"/>
      <c r="I6" s="109"/>
      <c r="J6" s="109"/>
      <c r="K6" s="109"/>
      <c r="L6" s="109"/>
      <c r="M6" s="109"/>
      <c r="N6" s="109"/>
      <c r="O6" s="109"/>
      <c r="P6" s="109"/>
      <c r="Q6" s="109"/>
      <c r="R6" s="17"/>
      <c r="S6" s="17"/>
      <c r="T6" s="17"/>
      <c r="U6" s="17"/>
      <c r="V6" s="17"/>
    </row>
    <row r="7" spans="1:22" ht="15.75" customHeight="1" x14ac:dyDescent="0.2">
      <c r="A7" s="109"/>
      <c r="B7" s="114" t="s">
        <v>165</v>
      </c>
      <c r="C7" s="115">
        <v>5012</v>
      </c>
      <c r="D7" s="115">
        <v>2975</v>
      </c>
      <c r="E7" s="116"/>
      <c r="F7" s="109"/>
      <c r="G7" s="109"/>
      <c r="H7" s="109"/>
      <c r="I7" s="109"/>
      <c r="J7" s="109"/>
      <c r="K7" s="109"/>
      <c r="L7" s="109"/>
      <c r="M7" s="109"/>
      <c r="N7" s="109"/>
      <c r="O7" s="109"/>
      <c r="P7" s="109"/>
      <c r="Q7" s="109"/>
      <c r="R7" s="17"/>
      <c r="S7" s="17"/>
      <c r="T7" s="17"/>
      <c r="U7" s="17"/>
      <c r="V7" s="17"/>
    </row>
    <row r="8" spans="1:22" ht="15.75" customHeight="1" x14ac:dyDescent="0.2">
      <c r="A8" s="109"/>
      <c r="B8" s="114" t="s">
        <v>166</v>
      </c>
      <c r="C8" s="115">
        <v>5012</v>
      </c>
      <c r="D8" s="115">
        <v>3523</v>
      </c>
      <c r="E8" s="116"/>
      <c r="F8" s="109"/>
      <c r="G8" s="109"/>
      <c r="H8" s="109"/>
      <c r="I8" s="109"/>
      <c r="J8" s="109"/>
      <c r="K8" s="109"/>
      <c r="L8" s="109"/>
      <c r="M8" s="109"/>
      <c r="N8" s="109"/>
      <c r="O8" s="109"/>
      <c r="P8" s="109"/>
      <c r="Q8" s="109"/>
      <c r="R8" s="17"/>
      <c r="S8" s="17"/>
      <c r="T8" s="17"/>
      <c r="U8" s="17"/>
      <c r="V8" s="17"/>
    </row>
    <row r="9" spans="1:22" ht="15.75" customHeight="1" x14ac:dyDescent="0.2">
      <c r="A9" s="109"/>
      <c r="B9" s="114" t="s">
        <v>167</v>
      </c>
      <c r="C9" s="115">
        <v>6819</v>
      </c>
      <c r="D9" s="115">
        <v>1509</v>
      </c>
      <c r="E9" s="116"/>
      <c r="F9" s="109"/>
      <c r="G9" s="109"/>
      <c r="H9" s="109"/>
      <c r="I9" s="109"/>
      <c r="J9" s="109"/>
      <c r="K9" s="109"/>
      <c r="L9" s="109"/>
      <c r="M9" s="109"/>
      <c r="N9" s="109"/>
      <c r="O9" s="109"/>
      <c r="P9" s="109"/>
      <c r="Q9" s="109"/>
      <c r="R9" s="17"/>
      <c r="S9" s="17"/>
      <c r="T9" s="17"/>
      <c r="U9" s="17"/>
      <c r="V9" s="17"/>
    </row>
    <row r="10" spans="1:22" ht="15.75" customHeight="1" x14ac:dyDescent="0.2">
      <c r="A10" s="109"/>
      <c r="B10" s="114" t="s">
        <v>168</v>
      </c>
      <c r="C10" s="115">
        <v>3778</v>
      </c>
      <c r="D10" s="115">
        <v>2738</v>
      </c>
      <c r="E10" s="116"/>
      <c r="F10" s="109"/>
      <c r="G10" s="109"/>
      <c r="H10" s="109"/>
      <c r="I10" s="109"/>
      <c r="J10" s="109"/>
      <c r="K10" s="109"/>
      <c r="L10" s="109"/>
      <c r="M10" s="109"/>
      <c r="N10" s="109"/>
      <c r="O10" s="109"/>
      <c r="P10" s="109"/>
      <c r="Q10" s="109"/>
      <c r="R10" s="17"/>
      <c r="S10" s="17"/>
      <c r="T10" s="17"/>
      <c r="U10" s="17"/>
      <c r="V10" s="17"/>
    </row>
    <row r="11" spans="1:22" ht="15.75" customHeight="1" x14ac:dyDescent="0.2">
      <c r="A11" s="109"/>
      <c r="B11" s="114" t="s">
        <v>169</v>
      </c>
      <c r="C11" s="115">
        <f>C9+C10</f>
        <v>10597</v>
      </c>
      <c r="D11" s="115">
        <f>D9+D10</f>
        <v>4247</v>
      </c>
      <c r="E11" s="116"/>
      <c r="F11" s="109"/>
      <c r="G11" s="109"/>
      <c r="H11" s="109"/>
      <c r="I11" s="109"/>
      <c r="J11" s="109"/>
      <c r="K11" s="109"/>
      <c r="L11" s="109"/>
      <c r="M11" s="109"/>
      <c r="N11" s="109"/>
      <c r="O11" s="109"/>
      <c r="P11" s="109"/>
      <c r="Q11" s="109"/>
      <c r="R11" s="17"/>
      <c r="S11" s="17"/>
      <c r="T11" s="17"/>
      <c r="U11" s="17"/>
      <c r="V11" s="17"/>
    </row>
    <row r="12" spans="1:22" ht="15.75" customHeight="1" x14ac:dyDescent="0.2">
      <c r="A12" s="109"/>
      <c r="B12" s="114" t="s">
        <v>170</v>
      </c>
      <c r="C12" s="115">
        <f>C11</f>
        <v>10597</v>
      </c>
      <c r="D12" s="115">
        <v>11196</v>
      </c>
      <c r="E12" s="116"/>
      <c r="F12" s="109"/>
      <c r="G12" s="109"/>
      <c r="H12" s="109"/>
      <c r="I12" s="109"/>
      <c r="J12" s="109"/>
      <c r="K12" s="109"/>
      <c r="L12" s="109"/>
      <c r="M12" s="109"/>
      <c r="N12" s="109"/>
      <c r="O12" s="109"/>
      <c r="P12" s="109"/>
      <c r="Q12" s="109"/>
      <c r="R12" s="17"/>
      <c r="S12" s="17"/>
      <c r="T12" s="17"/>
      <c r="U12" s="17"/>
      <c r="V12" s="17"/>
    </row>
    <row r="13" spans="1:22" ht="15.75" customHeight="1" x14ac:dyDescent="0.2">
      <c r="A13" s="109"/>
      <c r="B13" s="114" t="s">
        <v>171</v>
      </c>
      <c r="C13" s="115">
        <v>46986</v>
      </c>
      <c r="D13" s="115">
        <f>'16''-25'' 10Ks'!L142-C13</f>
        <v>7622</v>
      </c>
      <c r="E13" s="116"/>
      <c r="F13" s="109"/>
      <c r="G13" s="109"/>
      <c r="H13" s="109"/>
      <c r="I13" s="109"/>
      <c r="J13" s="109"/>
      <c r="K13" s="109"/>
      <c r="L13" s="109"/>
      <c r="M13" s="109"/>
      <c r="N13" s="109"/>
      <c r="O13" s="109"/>
      <c r="P13" s="109"/>
      <c r="Q13" s="109"/>
      <c r="R13" s="17"/>
      <c r="S13" s="17"/>
      <c r="T13" s="17"/>
      <c r="U13" s="17"/>
      <c r="V13" s="17"/>
    </row>
    <row r="14" spans="1:22" ht="15.75" customHeight="1" x14ac:dyDescent="0.2">
      <c r="A14" s="109"/>
      <c r="B14" s="114" t="s">
        <v>80</v>
      </c>
      <c r="C14" s="115">
        <v>29812</v>
      </c>
      <c r="D14" s="115">
        <f>'16''-25'' 10Ks'!L188-C14</f>
        <v>65807</v>
      </c>
      <c r="E14" s="116"/>
      <c r="F14" s="109"/>
      <c r="G14" s="109"/>
      <c r="H14" s="109"/>
      <c r="I14" s="109"/>
      <c r="J14" s="109"/>
      <c r="K14" s="109"/>
      <c r="L14" s="109"/>
      <c r="M14" s="109"/>
      <c r="N14" s="109"/>
      <c r="O14" s="109"/>
      <c r="P14" s="109"/>
      <c r="Q14" s="109"/>
      <c r="R14" s="17"/>
      <c r="S14" s="17"/>
      <c r="T14" s="17"/>
      <c r="U14" s="17"/>
      <c r="V14" s="17"/>
    </row>
    <row r="15" spans="1:22" ht="15.75" customHeight="1" x14ac:dyDescent="0.2">
      <c r="A15" s="109"/>
      <c r="B15" s="114" t="s">
        <v>172</v>
      </c>
      <c r="C15" s="115">
        <v>42</v>
      </c>
      <c r="D15" s="115">
        <f>'16''-25'' 10Ks'!L94-C15</f>
        <v>2770</v>
      </c>
      <c r="E15" s="116"/>
      <c r="F15" s="109"/>
      <c r="G15" s="109"/>
      <c r="H15" s="109"/>
      <c r="I15" s="109"/>
      <c r="J15" s="109"/>
      <c r="K15" s="109"/>
      <c r="L15" s="109"/>
      <c r="M15" s="109"/>
      <c r="N15" s="109"/>
      <c r="O15" s="109"/>
      <c r="P15" s="109"/>
      <c r="Q15" s="109"/>
      <c r="R15" s="17"/>
      <c r="S15" s="17"/>
      <c r="T15" s="17"/>
      <c r="U15" s="17"/>
      <c r="V15" s="17"/>
    </row>
    <row r="16" spans="1:22" ht="15.75" customHeight="1" x14ac:dyDescent="0.2">
      <c r="A16" s="109"/>
      <c r="B16" s="114" t="s">
        <v>173</v>
      </c>
      <c r="C16" s="115">
        <f>C14-C15</f>
        <v>29770</v>
      </c>
      <c r="D16" s="115">
        <f>D14-D15</f>
        <v>63037</v>
      </c>
      <c r="E16" s="116"/>
      <c r="F16" s="109"/>
      <c r="G16" s="109"/>
      <c r="H16" s="109"/>
      <c r="I16" s="109"/>
      <c r="J16" s="109"/>
      <c r="K16" s="109"/>
      <c r="L16" s="109"/>
      <c r="M16" s="109"/>
      <c r="N16" s="109"/>
      <c r="O16" s="109"/>
      <c r="P16" s="109"/>
      <c r="Q16" s="109"/>
      <c r="R16" s="17"/>
      <c r="S16" s="17"/>
      <c r="T16" s="17"/>
      <c r="U16" s="17"/>
      <c r="V16" s="17"/>
    </row>
    <row r="17" spans="1:22" ht="15.75" customHeight="1" x14ac:dyDescent="0.2">
      <c r="A17" s="109"/>
      <c r="B17" s="114" t="s">
        <v>174</v>
      </c>
      <c r="C17" s="115">
        <v>2071</v>
      </c>
      <c r="D17" s="117"/>
      <c r="E17" s="116"/>
      <c r="F17" s="109"/>
      <c r="G17" s="109"/>
      <c r="H17" s="109"/>
      <c r="I17" s="109"/>
      <c r="J17" s="109"/>
      <c r="K17" s="109"/>
      <c r="L17" s="109"/>
      <c r="M17" s="109"/>
      <c r="N17" s="109"/>
      <c r="O17" s="109"/>
      <c r="P17" s="109"/>
      <c r="Q17" s="109"/>
      <c r="R17" s="17"/>
      <c r="S17" s="17"/>
      <c r="T17" s="17"/>
      <c r="U17" s="17"/>
      <c r="V17" s="17"/>
    </row>
    <row r="18" spans="1:22" ht="15.75" customHeight="1" x14ac:dyDescent="0.2">
      <c r="A18" s="109"/>
      <c r="B18" s="118" t="s">
        <v>175</v>
      </c>
      <c r="C18" s="119">
        <f>'DDM Model'!D13</f>
        <v>86.55</v>
      </c>
      <c r="D18" s="120"/>
      <c r="E18" s="121"/>
      <c r="F18" s="122"/>
      <c r="G18" s="109"/>
      <c r="H18" s="109"/>
      <c r="I18" s="109"/>
      <c r="J18" s="109"/>
      <c r="K18" s="109"/>
      <c r="L18" s="109"/>
      <c r="M18" s="109"/>
      <c r="N18" s="109"/>
      <c r="O18" s="109"/>
      <c r="P18" s="109"/>
      <c r="Q18" s="109"/>
      <c r="R18" s="17"/>
      <c r="S18" s="17"/>
      <c r="T18" s="17"/>
      <c r="U18" s="17"/>
      <c r="V18" s="17"/>
    </row>
    <row r="19" spans="1:22" ht="15.75" customHeight="1" x14ac:dyDescent="0.2">
      <c r="A19" s="109"/>
      <c r="B19" s="109"/>
      <c r="C19" s="109"/>
      <c r="D19" s="109"/>
      <c r="E19" s="109"/>
      <c r="F19" s="109"/>
      <c r="G19" s="109"/>
      <c r="H19" s="109"/>
      <c r="I19" s="109"/>
      <c r="J19" s="109"/>
      <c r="K19" s="109"/>
      <c r="L19" s="109"/>
      <c r="M19" s="109"/>
      <c r="N19" s="109"/>
      <c r="O19" s="109"/>
      <c r="P19" s="109"/>
      <c r="Q19" s="109"/>
      <c r="R19" s="17"/>
      <c r="S19" s="17"/>
      <c r="T19" s="17"/>
      <c r="U19" s="17"/>
      <c r="V19" s="17"/>
    </row>
    <row r="20" spans="1:22" ht="15.75" customHeight="1" x14ac:dyDescent="0.2">
      <c r="A20" s="109"/>
      <c r="B20" s="23" t="s">
        <v>176</v>
      </c>
      <c r="C20" s="109"/>
      <c r="D20" s="109"/>
      <c r="E20" s="109"/>
      <c r="F20" s="109"/>
      <c r="G20" s="109"/>
      <c r="H20" s="109"/>
      <c r="I20" s="109"/>
      <c r="J20" s="109"/>
      <c r="K20" s="109"/>
      <c r="L20" s="109"/>
      <c r="M20" s="109"/>
      <c r="N20" s="109"/>
      <c r="O20" s="109"/>
      <c r="P20" s="122"/>
      <c r="Q20" s="109"/>
      <c r="R20" s="17"/>
      <c r="S20" s="17"/>
      <c r="T20" s="17"/>
      <c r="U20" s="17"/>
      <c r="V20" s="17"/>
    </row>
    <row r="21" spans="1:22" ht="15.75" customHeight="1" x14ac:dyDescent="0.2">
      <c r="A21" s="109"/>
      <c r="B21" s="123" t="s">
        <v>177</v>
      </c>
      <c r="C21" s="123" t="s">
        <v>178</v>
      </c>
      <c r="D21" s="123" t="s">
        <v>179</v>
      </c>
      <c r="E21" s="123" t="s">
        <v>180</v>
      </c>
      <c r="F21" s="123" t="s">
        <v>54</v>
      </c>
      <c r="G21" s="123" t="s">
        <v>173</v>
      </c>
      <c r="H21" s="123" t="s">
        <v>181</v>
      </c>
      <c r="I21" s="123" t="s">
        <v>182</v>
      </c>
      <c r="J21" s="123" t="s">
        <v>183</v>
      </c>
      <c r="K21" s="123" t="s">
        <v>184</v>
      </c>
      <c r="L21" s="123" t="s">
        <v>185</v>
      </c>
      <c r="M21" s="123" t="s">
        <v>186</v>
      </c>
      <c r="N21" s="123" t="s">
        <v>187</v>
      </c>
      <c r="O21" s="123" t="s">
        <v>188</v>
      </c>
      <c r="P21" s="123" t="s">
        <v>189</v>
      </c>
      <c r="Q21" s="123" t="s">
        <v>190</v>
      </c>
      <c r="R21" s="35"/>
      <c r="S21" s="17"/>
      <c r="T21" s="17"/>
      <c r="U21" s="17"/>
      <c r="V21" s="17"/>
    </row>
    <row r="22" spans="1:22" ht="15.75" customHeight="1" x14ac:dyDescent="0.2">
      <c r="A22" s="109"/>
      <c r="B22" s="114" t="s">
        <v>191</v>
      </c>
      <c r="C22" s="124" t="s">
        <v>192</v>
      </c>
      <c r="D22" s="125">
        <v>141.72</v>
      </c>
      <c r="E22" s="126">
        <f t="shared" ref="E22:E31" si="0">IFERROR(D22/P22,"")</f>
        <v>20.159970829909611</v>
      </c>
      <c r="F22" s="115">
        <v>3214</v>
      </c>
      <c r="G22" s="115">
        <v>23766</v>
      </c>
      <c r="H22" s="115">
        <v>12303</v>
      </c>
      <c r="I22" s="127">
        <v>207.745</v>
      </c>
      <c r="J22" s="128">
        <v>4.4400000000000004</v>
      </c>
      <c r="K22" s="115">
        <f t="shared" ref="K22:K31" si="1">IFERROR(D22*I22,"")</f>
        <v>29441.6214</v>
      </c>
      <c r="L22" s="115">
        <f t="shared" ref="L22:L31" si="2">IFERROR(K22+G22+Q22,"")</f>
        <v>53212.621400000004</v>
      </c>
      <c r="M22" s="129">
        <f t="shared" ref="M22:M31" si="3">IFERROR(L22/F22,"")</f>
        <v>16.556509458618546</v>
      </c>
      <c r="N22" s="130">
        <f t="shared" ref="N22:N31" si="4">IFERROR(K22/H22,"")</f>
        <v>2.3930440868080955</v>
      </c>
      <c r="O22" s="131">
        <f t="shared" ref="O22:O31" si="5">IFERROR(J22/D22,"")</f>
        <v>3.1329381879762919E-2</v>
      </c>
      <c r="P22" s="132">
        <f>1460.4/I22</f>
        <v>7.0297720763435949</v>
      </c>
      <c r="Q22" s="115">
        <v>5</v>
      </c>
      <c r="R22" s="17"/>
      <c r="S22" s="17"/>
      <c r="T22" s="17"/>
      <c r="U22" s="17"/>
      <c r="V22" s="17"/>
    </row>
    <row r="23" spans="1:22" ht="15.75" customHeight="1" x14ac:dyDescent="0.2">
      <c r="A23" s="109"/>
      <c r="B23" s="114" t="s">
        <v>193</v>
      </c>
      <c r="C23" s="124" t="s">
        <v>192</v>
      </c>
      <c r="D23" s="125">
        <v>71.739999999999995</v>
      </c>
      <c r="E23" s="126">
        <f t="shared" si="0"/>
        <v>20.322795857988165</v>
      </c>
      <c r="F23" s="115">
        <v>3033</v>
      </c>
      <c r="G23" s="115">
        <v>18389</v>
      </c>
      <c r="H23" s="115">
        <v>8920</v>
      </c>
      <c r="I23" s="127">
        <v>306.39999999999998</v>
      </c>
      <c r="J23" s="128">
        <v>2.17</v>
      </c>
      <c r="K23" s="115">
        <f t="shared" si="1"/>
        <v>21981.135999999999</v>
      </c>
      <c r="L23" s="115">
        <f t="shared" si="2"/>
        <v>41161.135999999999</v>
      </c>
      <c r="M23" s="129">
        <f t="shared" si="3"/>
        <v>13.57109660402242</v>
      </c>
      <c r="N23" s="130">
        <f t="shared" si="4"/>
        <v>2.4642529147982062</v>
      </c>
      <c r="O23" s="131">
        <f t="shared" si="5"/>
        <v>3.0248118204627823E-2</v>
      </c>
      <c r="P23" s="132">
        <f>1081.6/I23</f>
        <v>3.5300261096605743</v>
      </c>
      <c r="Q23" s="115">
        <v>791</v>
      </c>
      <c r="R23" s="17"/>
      <c r="S23" s="17"/>
      <c r="T23" s="17"/>
      <c r="U23" s="17"/>
      <c r="V23" s="17"/>
    </row>
    <row r="24" spans="1:22" ht="15.75" customHeight="1" x14ac:dyDescent="0.2">
      <c r="A24" s="109"/>
      <c r="B24" s="114" t="s">
        <v>194</v>
      </c>
      <c r="C24" s="124" t="s">
        <v>192</v>
      </c>
      <c r="D24" s="125">
        <v>83.23</v>
      </c>
      <c r="E24" s="126">
        <f t="shared" si="0"/>
        <v>22.739427491694354</v>
      </c>
      <c r="F24" s="115">
        <v>2696</v>
      </c>
      <c r="G24" s="115">
        <v>14780</v>
      </c>
      <c r="H24" s="115">
        <v>10221</v>
      </c>
      <c r="I24" s="127">
        <v>230.26300000000001</v>
      </c>
      <c r="J24" s="128">
        <v>2.48</v>
      </c>
      <c r="K24" s="115">
        <f t="shared" si="1"/>
        <v>19164.789490000003</v>
      </c>
      <c r="L24" s="115">
        <f t="shared" si="2"/>
        <v>33990.789490000003</v>
      </c>
      <c r="M24" s="129">
        <f t="shared" si="3"/>
        <v>12.607859603115728</v>
      </c>
      <c r="N24" s="130">
        <f t="shared" si="4"/>
        <v>1.8750405527834852</v>
      </c>
      <c r="O24" s="131">
        <f t="shared" si="5"/>
        <v>2.9796948215787575E-2</v>
      </c>
      <c r="P24" s="132">
        <f>842.8/I24</f>
        <v>3.6601625098257209</v>
      </c>
      <c r="Q24" s="115">
        <v>46</v>
      </c>
      <c r="R24" s="17"/>
      <c r="S24" s="17"/>
      <c r="T24" s="17"/>
      <c r="U24" s="17"/>
      <c r="V24" s="17"/>
    </row>
    <row r="25" spans="1:22" ht="15.75" customHeight="1" x14ac:dyDescent="0.2">
      <c r="A25" s="109"/>
      <c r="B25" s="114" t="s">
        <v>195</v>
      </c>
      <c r="C25" s="124" t="s">
        <v>192</v>
      </c>
      <c r="D25" s="125">
        <v>124.28</v>
      </c>
      <c r="E25" s="126">
        <f t="shared" si="0"/>
        <v>19.69564083761102</v>
      </c>
      <c r="F25" s="115">
        <v>13418</v>
      </c>
      <c r="G25" s="115">
        <v>89591</v>
      </c>
      <c r="H25" s="115">
        <v>50869</v>
      </c>
      <c r="I25" s="127">
        <v>778</v>
      </c>
      <c r="J25" s="128">
        <v>4.22</v>
      </c>
      <c r="K25" s="115">
        <f t="shared" si="1"/>
        <v>96689.84</v>
      </c>
      <c r="L25" s="115">
        <f t="shared" si="2"/>
        <v>188430.84</v>
      </c>
      <c r="M25" s="129">
        <f t="shared" si="3"/>
        <v>14.043139066925026</v>
      </c>
      <c r="N25" s="130">
        <f t="shared" si="4"/>
        <v>1.9007615640173778</v>
      </c>
      <c r="O25" s="131">
        <f t="shared" si="5"/>
        <v>3.3955584164789186E-2</v>
      </c>
      <c r="P25" s="132">
        <f>4909.2/I25</f>
        <v>6.3100257069408734</v>
      </c>
      <c r="Q25" s="115">
        <v>2150</v>
      </c>
      <c r="R25" s="17"/>
      <c r="S25" s="17"/>
      <c r="T25" s="17"/>
      <c r="U25" s="17"/>
      <c r="V25" s="17"/>
    </row>
    <row r="26" spans="1:22" ht="15.75" customHeight="1" x14ac:dyDescent="0.2">
      <c r="A26" s="109"/>
      <c r="B26" s="114" t="s">
        <v>196</v>
      </c>
      <c r="C26" s="124" t="s">
        <v>192</v>
      </c>
      <c r="D26" s="125">
        <v>100.81</v>
      </c>
      <c r="E26" s="126">
        <f t="shared" si="0"/>
        <v>19.962459577603145</v>
      </c>
      <c r="F26" s="115">
        <v>1983</v>
      </c>
      <c r="G26" s="115">
        <v>10560</v>
      </c>
      <c r="H26" s="115">
        <v>7046</v>
      </c>
      <c r="I26" s="127">
        <v>120.95099999999999</v>
      </c>
      <c r="J26" s="128">
        <v>3.6</v>
      </c>
      <c r="K26" s="115">
        <f t="shared" si="1"/>
        <v>12193.070309999999</v>
      </c>
      <c r="L26" s="115">
        <f t="shared" si="2"/>
        <v>22794.070309999999</v>
      </c>
      <c r="M26" s="129">
        <f t="shared" si="3"/>
        <v>11.494740448814927</v>
      </c>
      <c r="N26" s="130">
        <f t="shared" si="4"/>
        <v>1.7304953604882201</v>
      </c>
      <c r="O26" s="131">
        <f t="shared" si="5"/>
        <v>3.5710742981847038E-2</v>
      </c>
      <c r="P26" s="132">
        <f>610.8/I26</f>
        <v>5.0499789170821243</v>
      </c>
      <c r="Q26" s="115">
        <v>41</v>
      </c>
      <c r="R26" s="17"/>
      <c r="S26" s="17"/>
      <c r="T26" s="17"/>
      <c r="U26" s="17"/>
      <c r="V26" s="17"/>
    </row>
    <row r="27" spans="1:22" ht="15.75" customHeight="1" x14ac:dyDescent="0.2">
      <c r="A27" s="109"/>
      <c r="B27" s="114" t="s">
        <v>197</v>
      </c>
      <c r="C27" s="124" t="s">
        <v>192</v>
      </c>
      <c r="D27" s="125">
        <v>108.06</v>
      </c>
      <c r="E27" s="126">
        <f t="shared" si="0"/>
        <v>27.637163636363635</v>
      </c>
      <c r="F27" s="115">
        <v>5280</v>
      </c>
      <c r="G27" s="115">
        <v>29006</v>
      </c>
      <c r="H27" s="115">
        <v>16923</v>
      </c>
      <c r="I27" s="127">
        <v>583.20399999999995</v>
      </c>
      <c r="J27" s="128">
        <v>2.44</v>
      </c>
      <c r="K27" s="115">
        <f t="shared" si="1"/>
        <v>63021.024239999999</v>
      </c>
      <c r="L27" s="115">
        <f t="shared" si="2"/>
        <v>92227.024239999999</v>
      </c>
      <c r="M27" s="129">
        <f t="shared" si="3"/>
        <v>17.467239439393939</v>
      </c>
      <c r="N27" s="130">
        <f t="shared" si="4"/>
        <v>3.7239865413933697</v>
      </c>
      <c r="O27" s="131">
        <f t="shared" si="5"/>
        <v>2.258004812141403E-2</v>
      </c>
      <c r="P27" s="132">
        <f>2280.3/I27</f>
        <v>3.9099526066350716</v>
      </c>
      <c r="Q27" s="115">
        <v>200</v>
      </c>
      <c r="R27" s="17"/>
      <c r="S27" s="17"/>
      <c r="T27" s="17"/>
      <c r="U27" s="17"/>
      <c r="V27" s="17"/>
    </row>
    <row r="28" spans="1:22" ht="15.75" customHeight="1" x14ac:dyDescent="0.2">
      <c r="A28" s="109"/>
      <c r="B28" s="114" t="s">
        <v>198</v>
      </c>
      <c r="C28" s="124" t="s">
        <v>192</v>
      </c>
      <c r="D28" s="125">
        <v>109.5</v>
      </c>
      <c r="E28" s="126">
        <f t="shared" si="0"/>
        <v>20.467843375938322</v>
      </c>
      <c r="F28" s="115">
        <v>3594</v>
      </c>
      <c r="G28" s="115">
        <v>19817</v>
      </c>
      <c r="H28" s="115">
        <v>13401</v>
      </c>
      <c r="I28" s="127">
        <v>276.39999999999998</v>
      </c>
      <c r="J28" s="128">
        <v>2.84</v>
      </c>
      <c r="K28" s="115">
        <f t="shared" si="1"/>
        <v>30265.8</v>
      </c>
      <c r="L28" s="115">
        <f t="shared" si="2"/>
        <v>50211.8</v>
      </c>
      <c r="M28" s="129">
        <f t="shared" si="3"/>
        <v>13.971007234279355</v>
      </c>
      <c r="N28" s="130">
        <f t="shared" si="4"/>
        <v>2.2584732482650547</v>
      </c>
      <c r="O28" s="131">
        <f t="shared" si="5"/>
        <v>2.5936073059360729E-2</v>
      </c>
      <c r="P28" s="132">
        <f>1478.7/I28</f>
        <v>5.3498552821997114</v>
      </c>
      <c r="Q28" s="115">
        <v>129</v>
      </c>
      <c r="R28" s="17"/>
      <c r="S28" s="17"/>
      <c r="T28" s="17"/>
      <c r="U28" s="17"/>
      <c r="V28" s="17"/>
    </row>
    <row r="29" spans="1:22" ht="15.75" customHeight="1" x14ac:dyDescent="0.2">
      <c r="A29" s="109"/>
      <c r="B29" s="114" t="s">
        <v>199</v>
      </c>
      <c r="C29" s="124" t="s">
        <v>192</v>
      </c>
      <c r="D29" s="125">
        <v>77.69</v>
      </c>
      <c r="E29" s="126">
        <f t="shared" si="0"/>
        <v>21.285339699485963</v>
      </c>
      <c r="F29" s="115">
        <v>5536</v>
      </c>
      <c r="G29" s="115">
        <v>33609</v>
      </c>
      <c r="H29" s="115">
        <v>23609</v>
      </c>
      <c r="I29" s="127">
        <v>623.601</v>
      </c>
      <c r="J29" s="128">
        <v>2.19</v>
      </c>
      <c r="K29" s="115">
        <f t="shared" si="1"/>
        <v>48447.561689999995</v>
      </c>
      <c r="L29" s="115">
        <f t="shared" si="2"/>
        <v>82081.561690000002</v>
      </c>
      <c r="M29" s="129">
        <f t="shared" si="3"/>
        <v>14.826871692557804</v>
      </c>
      <c r="N29" s="130">
        <f t="shared" si="4"/>
        <v>2.0520802105129397</v>
      </c>
      <c r="O29" s="131">
        <f t="shared" si="5"/>
        <v>2.8188956107607157E-2</v>
      </c>
      <c r="P29" s="132">
        <f>2276.1/I29</f>
        <v>3.64993000331943</v>
      </c>
      <c r="Q29" s="115">
        <v>25</v>
      </c>
      <c r="R29" s="17"/>
      <c r="S29" s="17"/>
      <c r="T29" s="17"/>
      <c r="U29" s="17"/>
      <c r="V29" s="17"/>
    </row>
    <row r="30" spans="1:22" ht="15.75" customHeight="1" x14ac:dyDescent="0.2">
      <c r="A30" s="109"/>
      <c r="B30" s="114" t="s">
        <v>200</v>
      </c>
      <c r="C30" s="124" t="s">
        <v>192</v>
      </c>
      <c r="D30" s="125">
        <v>92.94</v>
      </c>
      <c r="E30" s="126">
        <f t="shared" si="0"/>
        <v>23.709183673469386</v>
      </c>
      <c r="F30" s="115">
        <v>12786</v>
      </c>
      <c r="G30" s="115">
        <v>70952</v>
      </c>
      <c r="H30" s="115">
        <v>36016</v>
      </c>
      <c r="I30" s="127">
        <v>1100</v>
      </c>
      <c r="J30" s="128">
        <v>2.94</v>
      </c>
      <c r="K30" s="115">
        <f t="shared" si="1"/>
        <v>102234</v>
      </c>
      <c r="L30" s="115">
        <f t="shared" si="2"/>
        <v>176037</v>
      </c>
      <c r="M30" s="129">
        <f t="shared" si="3"/>
        <v>13.767949319568277</v>
      </c>
      <c r="N30" s="130">
        <f t="shared" si="4"/>
        <v>2.8385717458907154</v>
      </c>
      <c r="O30" s="131">
        <f t="shared" si="5"/>
        <v>3.1633311814073597E-2</v>
      </c>
      <c r="P30" s="132">
        <f>4312/I30</f>
        <v>3.92</v>
      </c>
      <c r="Q30" s="115">
        <v>2851</v>
      </c>
      <c r="R30" s="17"/>
      <c r="S30" s="17"/>
      <c r="T30" s="17"/>
      <c r="U30" s="17"/>
      <c r="V30" s="17"/>
    </row>
    <row r="31" spans="1:22" ht="15.75" customHeight="1" x14ac:dyDescent="0.2">
      <c r="A31" s="109"/>
      <c r="B31" s="114" t="s">
        <v>201</v>
      </c>
      <c r="C31" s="124" t="s">
        <v>192</v>
      </c>
      <c r="D31" s="125">
        <v>71.27</v>
      </c>
      <c r="E31" s="126">
        <f t="shared" si="0"/>
        <v>22.698091491206341</v>
      </c>
      <c r="F31" s="115">
        <v>1871</v>
      </c>
      <c r="G31" s="115">
        <v>11560</v>
      </c>
      <c r="H31" s="115">
        <v>7334</v>
      </c>
      <c r="I31" s="127">
        <v>257.14100000000002</v>
      </c>
      <c r="J31" s="128">
        <v>2.0299999999999998</v>
      </c>
      <c r="K31" s="115">
        <f t="shared" si="1"/>
        <v>18326.43907</v>
      </c>
      <c r="L31" s="115">
        <f t="shared" si="2"/>
        <v>29898.43907</v>
      </c>
      <c r="M31" s="129">
        <f t="shared" si="3"/>
        <v>15.979924676643506</v>
      </c>
      <c r="N31" s="130">
        <f t="shared" si="4"/>
        <v>2.4988327065721299</v>
      </c>
      <c r="O31" s="131">
        <f t="shared" si="5"/>
        <v>2.8483232776764417E-2</v>
      </c>
      <c r="P31" s="132">
        <f>807.4/I31</f>
        <v>3.1399115660279766</v>
      </c>
      <c r="Q31" s="115">
        <v>12</v>
      </c>
      <c r="R31" s="17"/>
      <c r="S31" s="17"/>
      <c r="T31" s="17"/>
      <c r="U31" s="17"/>
      <c r="V31" s="17"/>
    </row>
    <row r="32" spans="1:22" ht="15.75" customHeight="1" x14ac:dyDescent="0.2">
      <c r="A32" s="109"/>
      <c r="B32" s="133" t="s">
        <v>202</v>
      </c>
      <c r="C32" s="134"/>
      <c r="D32" s="134"/>
      <c r="E32" s="135">
        <f>IFERROR(MEDIAN(E22:E31),"")</f>
        <v>20.876591537712144</v>
      </c>
      <c r="F32" s="134"/>
      <c r="G32" s="134"/>
      <c r="H32" s="134"/>
      <c r="I32" s="134"/>
      <c r="J32" s="134"/>
      <c r="K32" s="134"/>
      <c r="L32" s="134"/>
      <c r="M32" s="136">
        <f>IFERROR(MEDIAN(M22:M31),"")</f>
        <v>14.00707315060219</v>
      </c>
      <c r="N32" s="137">
        <f>IFERROR(MEDIAN(N22:N31),"")</f>
        <v>2.3257586675365749</v>
      </c>
      <c r="O32" s="138">
        <f>IFERROR(MEDIAN(O22:O31),"")</f>
        <v>3.0022533210207699E-2</v>
      </c>
      <c r="P32" s="134"/>
      <c r="Q32" s="134"/>
      <c r="R32" s="17"/>
      <c r="S32" s="17"/>
      <c r="T32" s="17"/>
      <c r="U32" s="17"/>
      <c r="V32" s="17"/>
    </row>
    <row r="33" spans="1:22" ht="15.75" customHeight="1" x14ac:dyDescent="0.2">
      <c r="A33" s="109"/>
      <c r="B33" s="109"/>
      <c r="C33" s="109"/>
      <c r="D33" s="109"/>
      <c r="E33" s="109"/>
      <c r="F33" s="109"/>
      <c r="G33" s="109"/>
      <c r="H33" s="109"/>
      <c r="I33" s="109"/>
      <c r="J33" s="109"/>
      <c r="K33" s="109"/>
      <c r="L33" s="109"/>
      <c r="M33" s="109"/>
      <c r="N33" s="109"/>
      <c r="O33" s="109"/>
      <c r="P33" s="109"/>
      <c r="Q33" s="109"/>
      <c r="R33" s="17"/>
      <c r="S33" s="17"/>
      <c r="T33" s="17"/>
      <c r="U33" s="17"/>
      <c r="V33" s="17"/>
    </row>
    <row r="34" spans="1:22" ht="15.75" customHeight="1" x14ac:dyDescent="0.2">
      <c r="A34" s="109"/>
      <c r="B34" s="109"/>
      <c r="C34" s="109"/>
      <c r="D34" s="109"/>
      <c r="E34" s="109"/>
      <c r="F34" s="109"/>
      <c r="G34" s="109"/>
      <c r="H34" s="109"/>
      <c r="I34" s="109"/>
      <c r="J34" s="109"/>
      <c r="K34" s="109"/>
      <c r="L34" s="109"/>
      <c r="M34" s="109"/>
      <c r="N34" s="109"/>
      <c r="O34" s="109"/>
      <c r="P34" s="109"/>
      <c r="Q34" s="109"/>
      <c r="R34" s="17"/>
      <c r="S34" s="17"/>
      <c r="T34" s="17"/>
      <c r="U34" s="17"/>
      <c r="V34" s="17"/>
    </row>
    <row r="35" spans="1:22" ht="15.75" customHeight="1" x14ac:dyDescent="0.2">
      <c r="A35" s="109"/>
      <c r="B35" s="23" t="s">
        <v>203</v>
      </c>
      <c r="C35" s="109"/>
      <c r="D35" s="109"/>
      <c r="E35" s="109"/>
      <c r="F35" s="109"/>
      <c r="G35" s="109"/>
      <c r="H35" s="109"/>
      <c r="I35" s="109"/>
      <c r="J35" s="109"/>
      <c r="K35" s="109"/>
      <c r="L35" s="109"/>
      <c r="M35" s="109"/>
      <c r="N35" s="109"/>
      <c r="O35" s="109"/>
      <c r="P35" s="109"/>
      <c r="Q35" s="109"/>
      <c r="R35" s="17"/>
      <c r="S35" s="17"/>
      <c r="T35" s="17"/>
      <c r="U35" s="17"/>
      <c r="V35" s="17"/>
    </row>
    <row r="36" spans="1:22" ht="15.75" customHeight="1" x14ac:dyDescent="0.2">
      <c r="A36" s="109"/>
      <c r="B36" s="123" t="s">
        <v>177</v>
      </c>
      <c r="C36" s="123" t="s">
        <v>178</v>
      </c>
      <c r="D36" s="123" t="s">
        <v>179</v>
      </c>
      <c r="E36" s="123" t="s">
        <v>180</v>
      </c>
      <c r="F36" s="123" t="s">
        <v>54</v>
      </c>
      <c r="G36" s="123" t="s">
        <v>173</v>
      </c>
      <c r="H36" s="123" t="s">
        <v>182</v>
      </c>
      <c r="I36" s="123" t="s">
        <v>183</v>
      </c>
      <c r="J36" s="123" t="s">
        <v>184</v>
      </c>
      <c r="K36" s="123" t="s">
        <v>185</v>
      </c>
      <c r="L36" s="123" t="s">
        <v>186</v>
      </c>
      <c r="M36" s="123" t="s">
        <v>188</v>
      </c>
      <c r="N36" s="123" t="s">
        <v>189</v>
      </c>
      <c r="O36" s="123" t="s">
        <v>190</v>
      </c>
      <c r="P36" s="35"/>
      <c r="Q36" s="109"/>
      <c r="R36" s="17"/>
      <c r="S36" s="17"/>
      <c r="T36" s="17"/>
      <c r="U36" s="17"/>
      <c r="V36" s="17"/>
    </row>
    <row r="37" spans="1:22" ht="15.75" customHeight="1" x14ac:dyDescent="0.2">
      <c r="A37" s="109"/>
      <c r="B37" s="114" t="s">
        <v>204</v>
      </c>
      <c r="C37" s="124" t="s">
        <v>205</v>
      </c>
      <c r="D37" s="125">
        <v>26.87</v>
      </c>
      <c r="E37" s="126">
        <f>IFERROR(D37/N37,"")</f>
        <v>17.677421455007163</v>
      </c>
      <c r="F37" s="115">
        <v>14732</v>
      </c>
      <c r="G37" s="115">
        <v>38902</v>
      </c>
      <c r="H37" s="115">
        <v>2435.3000000000002</v>
      </c>
      <c r="I37" s="132">
        <v>1.48</v>
      </c>
      <c r="J37" s="115">
        <f t="shared" ref="J37:J46" si="6">IFERROR(D37*H37,"")</f>
        <v>65436.511000000006</v>
      </c>
      <c r="K37" s="115">
        <f t="shared" ref="K37:K46" si="7">IFERROR(J37+G37+O37,"")</f>
        <v>112217.511</v>
      </c>
      <c r="L37" s="129">
        <f t="shared" ref="L37:L46" si="8">IFERROR(K37/F37,"")</f>
        <v>7.6172624898180832</v>
      </c>
      <c r="M37" s="131">
        <f t="shared" ref="M37:M46" si="9">IFERROR(I37/D37,"")</f>
        <v>5.508001488649051E-2</v>
      </c>
      <c r="N37" s="132">
        <f>3701.7/H37</f>
        <v>1.5200180675892085</v>
      </c>
      <c r="O37" s="115">
        <v>7879</v>
      </c>
      <c r="P37" s="109"/>
      <c r="Q37" s="109"/>
      <c r="R37" s="17"/>
      <c r="S37" s="17"/>
      <c r="T37" s="17"/>
      <c r="U37" s="17"/>
      <c r="V37" s="17"/>
    </row>
    <row r="38" spans="1:22" ht="15.75" customHeight="1" x14ac:dyDescent="0.2">
      <c r="A38" s="109"/>
      <c r="B38" s="114" t="s">
        <v>206</v>
      </c>
      <c r="C38" s="124" t="s">
        <v>205</v>
      </c>
      <c r="D38" s="125">
        <v>65.69</v>
      </c>
      <c r="E38" s="126">
        <f>IFERROR(D38/N38,"")</f>
        <v>15.276646530507879</v>
      </c>
      <c r="F38" s="115">
        <v>5087</v>
      </c>
      <c r="G38" s="115">
        <v>10921</v>
      </c>
      <c r="H38" s="115">
        <v>727.6</v>
      </c>
      <c r="I38" s="132">
        <v>1.2</v>
      </c>
      <c r="J38" s="115">
        <f t="shared" si="6"/>
        <v>47796.044000000002</v>
      </c>
      <c r="K38" s="115">
        <f t="shared" si="7"/>
        <v>65900.043999999994</v>
      </c>
      <c r="L38" s="129">
        <f t="shared" si="8"/>
        <v>12.954598781206997</v>
      </c>
      <c r="M38" s="131">
        <f t="shared" si="9"/>
        <v>1.8267620642411327E-2</v>
      </c>
      <c r="N38" s="132">
        <f>3128.7/H38</f>
        <v>4.3000274876305662</v>
      </c>
      <c r="O38" s="115">
        <v>7183</v>
      </c>
      <c r="P38" s="109"/>
      <c r="Q38" s="109"/>
      <c r="R38" s="17"/>
      <c r="S38" s="17"/>
      <c r="T38" s="17"/>
      <c r="U38" s="17"/>
      <c r="V38" s="17"/>
    </row>
    <row r="39" spans="1:22" ht="15.75" customHeight="1" x14ac:dyDescent="0.2">
      <c r="A39" s="109"/>
      <c r="B39" s="114" t="s">
        <v>207</v>
      </c>
      <c r="C39" s="124" t="s">
        <v>192</v>
      </c>
      <c r="D39" s="125">
        <v>14.71</v>
      </c>
      <c r="E39" s="126">
        <f>IFERROR(D39/N39,"")</f>
        <v>11.228790996784568</v>
      </c>
      <c r="F39" s="115">
        <v>2871</v>
      </c>
      <c r="G39" s="115">
        <v>27636</v>
      </c>
      <c r="H39" s="115">
        <v>712.2</v>
      </c>
      <c r="I39" s="132">
        <v>0.69</v>
      </c>
      <c r="J39" s="115">
        <f t="shared" si="6"/>
        <v>10476.462000000001</v>
      </c>
      <c r="K39" s="115">
        <f t="shared" si="7"/>
        <v>43154.462</v>
      </c>
      <c r="L39" s="129">
        <f t="shared" si="8"/>
        <v>15.031160571229536</v>
      </c>
      <c r="M39" s="131">
        <f t="shared" si="9"/>
        <v>4.6906866077498291E-2</v>
      </c>
      <c r="N39" s="132">
        <f>933/H39</f>
        <v>1.3100252737994944</v>
      </c>
      <c r="O39" s="115">
        <v>5042</v>
      </c>
      <c r="P39" s="109"/>
      <c r="Q39" s="109"/>
      <c r="R39" s="17"/>
      <c r="S39" s="17"/>
      <c r="T39" s="17"/>
      <c r="U39" s="17"/>
      <c r="V39" s="17"/>
    </row>
    <row r="40" spans="1:22" ht="15.75" customHeight="1" x14ac:dyDescent="0.2">
      <c r="A40" s="109"/>
      <c r="B40" s="114" t="s">
        <v>208</v>
      </c>
      <c r="C40" s="124" t="s">
        <v>205</v>
      </c>
      <c r="D40" s="125">
        <v>20.65</v>
      </c>
      <c r="E40" s="126">
        <f>IFERROR(D40/N40,"")</f>
        <v>22.324360447241951</v>
      </c>
      <c r="F40" s="115">
        <v>16592</v>
      </c>
      <c r="G40" s="115">
        <v>51755</v>
      </c>
      <c r="H40" s="115">
        <v>6681.2</v>
      </c>
      <c r="I40" s="132">
        <v>0.68</v>
      </c>
      <c r="J40" s="115">
        <f t="shared" si="6"/>
        <v>137966.78</v>
      </c>
      <c r="K40" s="115">
        <f t="shared" si="7"/>
        <v>203072.78</v>
      </c>
      <c r="L40" s="129">
        <f t="shared" si="8"/>
        <v>12.239198408871745</v>
      </c>
      <c r="M40" s="131">
        <f t="shared" si="9"/>
        <v>3.2929782082324457E-2</v>
      </c>
      <c r="N40" s="132">
        <f>6180.1/H40</f>
        <v>0.92499850326288702</v>
      </c>
      <c r="O40" s="115">
        <v>13351</v>
      </c>
      <c r="P40" s="109"/>
      <c r="Q40" s="109"/>
      <c r="R40" s="17"/>
      <c r="S40" s="17"/>
      <c r="T40" s="17"/>
      <c r="U40" s="17"/>
      <c r="V40" s="17"/>
    </row>
    <row r="41" spans="1:22" ht="15.75" customHeight="1" x14ac:dyDescent="0.2">
      <c r="A41" s="109"/>
      <c r="B41" s="114" t="s">
        <v>209</v>
      </c>
      <c r="C41" s="124" t="s">
        <v>205</v>
      </c>
      <c r="D41" s="125">
        <v>13.52</v>
      </c>
      <c r="E41" s="139" t="s">
        <v>210</v>
      </c>
      <c r="F41" s="115">
        <v>1974</v>
      </c>
      <c r="G41" s="115">
        <v>8100</v>
      </c>
      <c r="H41" s="115">
        <v>1168</v>
      </c>
      <c r="I41" s="132">
        <v>0.20499999999999999</v>
      </c>
      <c r="J41" s="115">
        <f t="shared" si="6"/>
        <v>15791.359999999999</v>
      </c>
      <c r="K41" s="115">
        <f t="shared" si="7"/>
        <v>26791.360000000001</v>
      </c>
      <c r="L41" s="129">
        <f t="shared" si="8"/>
        <v>13.572117527862209</v>
      </c>
      <c r="M41" s="131">
        <f t="shared" si="9"/>
        <v>1.5162721893491124E-2</v>
      </c>
      <c r="N41" s="139" t="s">
        <v>210</v>
      </c>
      <c r="O41" s="115">
        <v>2900</v>
      </c>
      <c r="P41" s="109"/>
      <c r="Q41" s="109"/>
      <c r="R41" s="17"/>
      <c r="S41" s="17"/>
      <c r="T41" s="17"/>
      <c r="U41" s="17"/>
      <c r="V41" s="17"/>
    </row>
    <row r="42" spans="1:22" ht="15.75" customHeight="1" x14ac:dyDescent="0.2">
      <c r="A42" s="109"/>
      <c r="B42" s="114" t="s">
        <v>211</v>
      </c>
      <c r="C42" s="124" t="s">
        <v>212</v>
      </c>
      <c r="D42" s="125">
        <v>31.55</v>
      </c>
      <c r="E42" s="126">
        <f>IFERROR(D42/N42,"")</f>
        <v>20.553617335911728</v>
      </c>
      <c r="F42" s="115">
        <v>3208</v>
      </c>
      <c r="G42" s="115">
        <v>10095</v>
      </c>
      <c r="H42" s="115">
        <v>1145.4000000000001</v>
      </c>
      <c r="I42" s="132">
        <v>0.68700000000000006</v>
      </c>
      <c r="J42" s="115">
        <f t="shared" si="6"/>
        <v>36137.370000000003</v>
      </c>
      <c r="K42" s="115">
        <f t="shared" si="7"/>
        <v>47932.37</v>
      </c>
      <c r="L42" s="129">
        <f t="shared" si="8"/>
        <v>14.941511845386534</v>
      </c>
      <c r="M42" s="131">
        <f t="shared" si="9"/>
        <v>2.1774960380348655E-2</v>
      </c>
      <c r="N42" s="132">
        <f>1758.2/H42</f>
        <v>1.535009603631919</v>
      </c>
      <c r="O42" s="115">
        <v>1700</v>
      </c>
      <c r="P42" s="109"/>
      <c r="Q42" s="109"/>
      <c r="R42" s="17"/>
      <c r="S42" s="17"/>
      <c r="T42" s="17"/>
      <c r="U42" s="17"/>
      <c r="V42" s="17"/>
    </row>
    <row r="43" spans="1:22" ht="15.75" customHeight="1" x14ac:dyDescent="0.2">
      <c r="A43" s="109"/>
      <c r="B43" s="114" t="s">
        <v>213</v>
      </c>
      <c r="C43" s="124" t="s">
        <v>192</v>
      </c>
      <c r="D43" s="125">
        <v>33.68</v>
      </c>
      <c r="E43" s="139" t="s">
        <v>210</v>
      </c>
      <c r="F43" s="115">
        <v>2698</v>
      </c>
      <c r="G43" s="115">
        <v>16800</v>
      </c>
      <c r="H43" s="115">
        <v>665.1</v>
      </c>
      <c r="I43" s="132">
        <v>1.49</v>
      </c>
      <c r="J43" s="115">
        <f t="shared" si="6"/>
        <v>22400.567999999999</v>
      </c>
      <c r="K43" s="115">
        <f t="shared" si="7"/>
        <v>39200.567999999999</v>
      </c>
      <c r="L43" s="129">
        <f t="shared" si="8"/>
        <v>14.52949147516679</v>
      </c>
      <c r="M43" s="131">
        <f t="shared" si="9"/>
        <v>4.4239904988123517E-2</v>
      </c>
      <c r="N43" s="139" t="s">
        <v>210</v>
      </c>
      <c r="O43" s="115">
        <v>0</v>
      </c>
      <c r="P43" s="109"/>
      <c r="Q43" s="109"/>
      <c r="R43" s="17"/>
      <c r="S43" s="17"/>
      <c r="T43" s="17"/>
      <c r="U43" s="17"/>
      <c r="V43" s="17"/>
    </row>
    <row r="44" spans="1:22" ht="15.75" customHeight="1" x14ac:dyDescent="0.2">
      <c r="A44" s="109"/>
      <c r="B44" s="114" t="s">
        <v>214</v>
      </c>
      <c r="C44" s="124" t="s">
        <v>192</v>
      </c>
      <c r="D44" s="125">
        <v>32.06</v>
      </c>
      <c r="E44" s="139" t="s">
        <v>210</v>
      </c>
      <c r="F44" s="115">
        <v>1140</v>
      </c>
      <c r="G44" s="115">
        <v>8375</v>
      </c>
      <c r="H44" s="115">
        <v>120.9</v>
      </c>
      <c r="I44" s="132">
        <v>1.72</v>
      </c>
      <c r="J44" s="115">
        <f t="shared" si="6"/>
        <v>3876.0540000000005</v>
      </c>
      <c r="K44" s="115">
        <f t="shared" si="7"/>
        <v>16138.054</v>
      </c>
      <c r="L44" s="129">
        <f t="shared" si="8"/>
        <v>14.156187719298245</v>
      </c>
      <c r="M44" s="131">
        <f t="shared" si="9"/>
        <v>5.3649407361197748E-2</v>
      </c>
      <c r="N44" s="139" t="s">
        <v>210</v>
      </c>
      <c r="O44" s="115">
        <v>3887</v>
      </c>
      <c r="P44" s="109"/>
      <c r="Q44" s="109"/>
      <c r="R44" s="17"/>
      <c r="S44" s="17"/>
      <c r="T44" s="17"/>
      <c r="U44" s="17"/>
      <c r="V44" s="17"/>
    </row>
    <row r="45" spans="1:22" ht="15.75" customHeight="1" x14ac:dyDescent="0.2">
      <c r="A45" s="109"/>
      <c r="B45" s="114" t="s">
        <v>215</v>
      </c>
      <c r="C45" s="124" t="s">
        <v>216</v>
      </c>
      <c r="D45" s="125">
        <v>21.82</v>
      </c>
      <c r="E45" s="139" t="s">
        <v>210</v>
      </c>
      <c r="F45" s="115">
        <v>1253</v>
      </c>
      <c r="G45" s="115">
        <v>5989</v>
      </c>
      <c r="H45" s="115">
        <v>261.3</v>
      </c>
      <c r="I45" s="132">
        <v>1.2</v>
      </c>
      <c r="J45" s="115">
        <f t="shared" si="6"/>
        <v>5701.5660000000007</v>
      </c>
      <c r="K45" s="115">
        <f t="shared" si="7"/>
        <v>12053.566000000001</v>
      </c>
      <c r="L45" s="129">
        <f t="shared" si="8"/>
        <v>9.6197653631284918</v>
      </c>
      <c r="M45" s="131">
        <f t="shared" si="9"/>
        <v>5.4995417048579284E-2</v>
      </c>
      <c r="N45" s="139" t="s">
        <v>210</v>
      </c>
      <c r="O45" s="115">
        <v>363</v>
      </c>
      <c r="P45" s="109"/>
      <c r="Q45" s="109"/>
      <c r="R45" s="17"/>
      <c r="S45" s="17"/>
      <c r="T45" s="17"/>
      <c r="U45" s="17"/>
      <c r="V45" s="17"/>
    </row>
    <row r="46" spans="1:22" ht="15.75" customHeight="1" x14ac:dyDescent="0.2">
      <c r="A46" s="109"/>
      <c r="B46" s="114" t="s">
        <v>217</v>
      </c>
      <c r="C46" s="124" t="s">
        <v>216</v>
      </c>
      <c r="D46" s="125">
        <v>65.87</v>
      </c>
      <c r="E46" s="139" t="s">
        <v>210</v>
      </c>
      <c r="F46" s="115">
        <v>1580</v>
      </c>
      <c r="G46" s="115">
        <v>6773</v>
      </c>
      <c r="H46" s="115">
        <v>155.80000000000001</v>
      </c>
      <c r="I46" s="132">
        <v>2.6858</v>
      </c>
      <c r="J46" s="115">
        <f t="shared" si="6"/>
        <v>10262.546000000002</v>
      </c>
      <c r="K46" s="115">
        <f t="shared" si="7"/>
        <v>17035.546000000002</v>
      </c>
      <c r="L46" s="129">
        <f t="shared" si="8"/>
        <v>10.781991139240507</v>
      </c>
      <c r="M46" s="131">
        <f t="shared" si="9"/>
        <v>4.077425231516623E-2</v>
      </c>
      <c r="N46" s="139" t="s">
        <v>210</v>
      </c>
      <c r="O46" s="115">
        <v>0</v>
      </c>
      <c r="P46" s="109"/>
      <c r="Q46" s="109"/>
      <c r="R46" s="17"/>
      <c r="S46" s="17"/>
      <c r="T46" s="17"/>
      <c r="U46" s="17"/>
      <c r="V46" s="17"/>
    </row>
    <row r="47" spans="1:22" ht="15.75" customHeight="1" x14ac:dyDescent="0.2">
      <c r="A47" s="109"/>
      <c r="B47" s="133" t="s">
        <v>202</v>
      </c>
      <c r="C47" s="134"/>
      <c r="D47" s="134"/>
      <c r="E47" s="135">
        <f>IFERROR(MEDIAN(E37:E46),"")</f>
        <v>17.677421455007163</v>
      </c>
      <c r="F47" s="134"/>
      <c r="G47" s="134"/>
      <c r="H47" s="134"/>
      <c r="I47" s="134"/>
      <c r="J47" s="134"/>
      <c r="K47" s="134"/>
      <c r="L47" s="136">
        <f>IFERROR(MEDIAN(L37:L46),"")</f>
        <v>13.263358154534604</v>
      </c>
      <c r="M47" s="138">
        <f>IFERROR(MEDIAN(M37:M46),"")</f>
        <v>4.2507078651644874E-2</v>
      </c>
      <c r="N47" s="134"/>
      <c r="O47" s="134"/>
      <c r="P47" s="109"/>
      <c r="Q47" s="109"/>
      <c r="R47" s="17"/>
      <c r="S47" s="17"/>
      <c r="T47" s="17"/>
      <c r="U47" s="17"/>
      <c r="V47" s="17"/>
    </row>
    <row r="48" spans="1:22" ht="15.75" customHeight="1" x14ac:dyDescent="0.2">
      <c r="A48" s="109"/>
      <c r="B48" s="109"/>
      <c r="C48" s="109"/>
      <c r="D48" s="109"/>
      <c r="E48" s="109"/>
      <c r="F48" s="109"/>
      <c r="G48" s="109"/>
      <c r="H48" s="109"/>
      <c r="I48" s="109"/>
      <c r="J48" s="109"/>
      <c r="K48" s="109"/>
      <c r="L48" s="109"/>
      <c r="M48" s="109"/>
      <c r="N48" s="109"/>
      <c r="O48" s="109"/>
      <c r="P48" s="109"/>
      <c r="Q48" s="109"/>
      <c r="R48" s="17"/>
      <c r="S48" s="17"/>
      <c r="T48" s="17"/>
      <c r="U48" s="17"/>
      <c r="V48" s="17"/>
    </row>
    <row r="49" spans="1:22" ht="15.75" customHeight="1" x14ac:dyDescent="0.2">
      <c r="A49" s="109"/>
      <c r="B49" s="109"/>
      <c r="C49" s="109"/>
      <c r="D49" s="109"/>
      <c r="E49" s="109"/>
      <c r="F49" s="109"/>
      <c r="G49" s="109"/>
      <c r="H49" s="109"/>
      <c r="I49" s="109"/>
      <c r="J49" s="109"/>
      <c r="K49" s="109"/>
      <c r="L49" s="109"/>
      <c r="M49" s="109"/>
      <c r="N49" s="109"/>
      <c r="O49" s="109"/>
      <c r="P49" s="109"/>
      <c r="Q49" s="109"/>
      <c r="R49" s="17"/>
      <c r="S49" s="17"/>
      <c r="T49" s="17"/>
      <c r="U49" s="17"/>
      <c r="V49" s="17"/>
    </row>
    <row r="50" spans="1:22" ht="15.75" customHeight="1" x14ac:dyDescent="0.2">
      <c r="A50" s="109"/>
      <c r="B50" s="23" t="s">
        <v>218</v>
      </c>
      <c r="C50" s="109"/>
      <c r="D50" s="109"/>
      <c r="E50" s="109"/>
      <c r="F50" s="109"/>
      <c r="G50" s="109"/>
      <c r="H50" s="109"/>
      <c r="I50" s="109"/>
      <c r="J50" s="109"/>
      <c r="K50" s="109"/>
      <c r="L50" s="109"/>
      <c r="M50" s="109"/>
      <c r="N50" s="109"/>
      <c r="O50" s="109"/>
      <c r="P50" s="109"/>
      <c r="Q50" s="109"/>
      <c r="R50" s="17"/>
      <c r="S50" s="17"/>
      <c r="T50" s="17"/>
      <c r="U50" s="17"/>
      <c r="V50" s="17"/>
    </row>
    <row r="51" spans="1:22" ht="15.75" customHeight="1" x14ac:dyDescent="0.2">
      <c r="A51" s="109"/>
      <c r="B51" s="122" t="s">
        <v>219</v>
      </c>
      <c r="C51" s="109"/>
      <c r="D51" s="109"/>
      <c r="E51" s="109"/>
      <c r="F51" s="109"/>
      <c r="G51" s="109"/>
      <c r="H51" s="109"/>
      <c r="I51" s="109"/>
      <c r="J51" s="109"/>
      <c r="K51" s="109"/>
      <c r="L51" s="109"/>
      <c r="M51" s="109"/>
      <c r="N51" s="109"/>
      <c r="O51" s="109"/>
      <c r="P51" s="109"/>
      <c r="Q51" s="109"/>
      <c r="R51" s="17"/>
      <c r="S51" s="17"/>
      <c r="T51" s="17"/>
      <c r="U51" s="17"/>
      <c r="V51" s="17"/>
    </row>
    <row r="52" spans="1:22" ht="15.75" customHeight="1" x14ac:dyDescent="0.2">
      <c r="A52" s="109"/>
      <c r="B52" s="123" t="s">
        <v>220</v>
      </c>
      <c r="C52" s="123" t="s">
        <v>221</v>
      </c>
      <c r="D52" s="123" t="s">
        <v>222</v>
      </c>
      <c r="E52" s="123" t="s">
        <v>223</v>
      </c>
      <c r="F52" s="123" t="s">
        <v>224</v>
      </c>
      <c r="G52" s="109"/>
      <c r="H52" s="109"/>
      <c r="I52" s="109"/>
      <c r="J52" s="109"/>
      <c r="K52" s="109"/>
      <c r="L52" s="109"/>
      <c r="M52" s="109"/>
      <c r="N52" s="109"/>
      <c r="O52" s="109"/>
      <c r="P52" s="109"/>
      <c r="Q52" s="109"/>
      <c r="R52" s="17"/>
      <c r="S52" s="17"/>
      <c r="T52" s="17"/>
      <c r="U52" s="17"/>
      <c r="V52" s="17"/>
    </row>
    <row r="53" spans="1:22" ht="15.75" customHeight="1" x14ac:dyDescent="0.2">
      <c r="A53" s="109"/>
      <c r="B53" s="114" t="s">
        <v>225</v>
      </c>
      <c r="C53" s="115">
        <f>IFERROR($E$32*$C$7,"")</f>
        <v>104633.47678701326</v>
      </c>
      <c r="D53" s="115">
        <f>IFERROR($E$47*$D$8,"")</f>
        <v>62277.555785990233</v>
      </c>
      <c r="E53" s="115">
        <f>IFERROR(C53+D53,"")</f>
        <v>166911.0325730035</v>
      </c>
      <c r="F53" s="128">
        <f>IFERROR(E53/$C$17,"")</f>
        <v>80.594414569291885</v>
      </c>
      <c r="G53" s="109"/>
      <c r="H53" s="109"/>
      <c r="I53" s="109"/>
      <c r="J53" s="109"/>
      <c r="K53" s="109"/>
      <c r="L53" s="109"/>
      <c r="M53" s="109"/>
      <c r="N53" s="109"/>
      <c r="O53" s="109"/>
      <c r="P53" s="109"/>
      <c r="Q53" s="109"/>
      <c r="R53" s="17"/>
      <c r="S53" s="17"/>
      <c r="T53" s="17"/>
      <c r="U53" s="17"/>
      <c r="V53" s="17"/>
    </row>
    <row r="54" spans="1:22" ht="15.75" customHeight="1" x14ac:dyDescent="0.2">
      <c r="A54" s="109"/>
      <c r="B54" s="114" t="s">
        <v>226</v>
      </c>
      <c r="C54" s="115">
        <f>IFERROR($M$32*$C$11-$C$16,"")</f>
        <v>118662.95417693141</v>
      </c>
      <c r="D54" s="115">
        <f>IFERROR($L$47*$D$12-$D$16-11871,"")</f>
        <v>73588.557898169413</v>
      </c>
      <c r="E54" s="115">
        <f>IFERROR(C54+D54,"")</f>
        <v>192251.51207510082</v>
      </c>
      <c r="F54" s="128">
        <f>IFERROR(E54/$C$17,"")</f>
        <v>92.830281059923138</v>
      </c>
      <c r="G54" s="109"/>
      <c r="H54" s="109"/>
      <c r="I54" s="109"/>
      <c r="J54" s="109"/>
      <c r="K54" s="109"/>
      <c r="L54" s="109"/>
      <c r="M54" s="109"/>
      <c r="N54" s="109"/>
      <c r="O54" s="109"/>
      <c r="P54" s="109"/>
      <c r="Q54" s="109"/>
      <c r="R54" s="17"/>
      <c r="S54" s="17"/>
      <c r="T54" s="17"/>
      <c r="U54" s="17"/>
      <c r="V54" s="17"/>
    </row>
    <row r="55" spans="1:22" ht="15.75" customHeight="1" x14ac:dyDescent="0.2">
      <c r="A55" s="109"/>
      <c r="B55" s="114" t="s">
        <v>227</v>
      </c>
      <c r="C55" s="115">
        <f>IFERROR($N$32*$C$13,"")</f>
        <v>109278.09675287351</v>
      </c>
      <c r="D55" s="124" t="s">
        <v>228</v>
      </c>
      <c r="E55" s="117"/>
      <c r="F55" s="117"/>
      <c r="G55" s="109"/>
      <c r="H55" s="109"/>
      <c r="I55" s="109"/>
      <c r="J55" s="109"/>
      <c r="K55" s="109"/>
      <c r="L55" s="109"/>
      <c r="M55" s="109"/>
      <c r="N55" s="109"/>
      <c r="O55" s="109"/>
      <c r="P55" s="109"/>
      <c r="Q55" s="109"/>
      <c r="R55" s="17"/>
      <c r="S55" s="17"/>
      <c r="T55" s="17"/>
      <c r="U55" s="17"/>
      <c r="V55" s="17"/>
    </row>
    <row r="56" spans="1:22" ht="15.75" customHeight="1" x14ac:dyDescent="0.2">
      <c r="A56" s="109"/>
      <c r="B56" s="109"/>
      <c r="C56" s="109"/>
      <c r="D56" s="109"/>
      <c r="E56" s="109"/>
      <c r="F56" s="109"/>
      <c r="G56" s="109"/>
      <c r="H56" s="109"/>
      <c r="I56" s="109"/>
      <c r="J56" s="109"/>
      <c r="K56" s="109"/>
      <c r="L56" s="109"/>
      <c r="M56" s="109"/>
      <c r="N56" s="109"/>
      <c r="O56" s="109"/>
      <c r="P56" s="109"/>
      <c r="Q56" s="109"/>
      <c r="R56" s="17"/>
      <c r="S56" s="17"/>
      <c r="T56" s="17"/>
      <c r="U56" s="17"/>
      <c r="V56" s="17"/>
    </row>
    <row r="57" spans="1:22" ht="15.75" customHeight="1" x14ac:dyDescent="0.2">
      <c r="A57" s="109"/>
      <c r="B57" s="140" t="s">
        <v>229</v>
      </c>
      <c r="C57" s="141">
        <f>IFERROR(AVERAGE(C53,C54,C55),"")</f>
        <v>110858.17590560605</v>
      </c>
      <c r="D57" s="141">
        <f>IFERROR(AVERAGE(D53,D54),"")</f>
        <v>67933.056842079823</v>
      </c>
      <c r="E57" s="141">
        <f>IFERROR(C57+D57,"")</f>
        <v>178791.23274768586</v>
      </c>
      <c r="F57" s="142">
        <f>IFERROR(E57/$C$17,"")</f>
        <v>86.330870472083944</v>
      </c>
      <c r="G57" s="109"/>
      <c r="H57" s="109"/>
      <c r="I57" s="109"/>
      <c r="J57" s="109"/>
      <c r="K57" s="109"/>
      <c r="L57" s="109"/>
      <c r="M57" s="109"/>
      <c r="N57" s="109"/>
      <c r="O57" s="109"/>
      <c r="P57" s="109"/>
      <c r="Q57" s="109"/>
      <c r="R57" s="17"/>
      <c r="S57" s="17"/>
      <c r="T57" s="17"/>
      <c r="U57" s="17"/>
      <c r="V57" s="17"/>
    </row>
    <row r="58" spans="1:22" ht="15.75" customHeight="1" x14ac:dyDescent="0.2">
      <c r="A58" s="109"/>
      <c r="B58" s="114" t="s">
        <v>230</v>
      </c>
      <c r="C58" s="117"/>
      <c r="D58" s="117"/>
      <c r="E58" s="117"/>
      <c r="F58" s="143">
        <f>$C$18</f>
        <v>86.55</v>
      </c>
      <c r="G58" s="109"/>
      <c r="H58" s="109"/>
      <c r="I58" s="109"/>
      <c r="J58" s="109"/>
      <c r="K58" s="109"/>
      <c r="L58" s="109"/>
      <c r="M58" s="109"/>
      <c r="N58" s="109"/>
      <c r="O58" s="109"/>
      <c r="P58" s="109"/>
      <c r="Q58" s="109"/>
      <c r="R58" s="17"/>
      <c r="S58" s="17"/>
      <c r="T58" s="17"/>
      <c r="U58" s="17"/>
      <c r="V58" s="17"/>
    </row>
    <row r="59" spans="1:22" ht="15.75" customHeight="1" x14ac:dyDescent="0.2">
      <c r="A59" s="109"/>
      <c r="B59" s="144" t="s">
        <v>129</v>
      </c>
      <c r="C59" s="117"/>
      <c r="D59" s="117"/>
      <c r="E59" s="117"/>
      <c r="F59" s="145">
        <f>IFERROR(F57/$C$18-1,"")</f>
        <v>-2.5318258569156926E-3</v>
      </c>
      <c r="G59" s="109"/>
      <c r="H59" s="109"/>
      <c r="I59" s="109"/>
      <c r="J59" s="109"/>
      <c r="K59" s="109"/>
      <c r="L59" s="109"/>
      <c r="M59" s="109"/>
      <c r="N59" s="109"/>
      <c r="O59" s="109"/>
      <c r="P59" s="109"/>
      <c r="Q59" s="109"/>
      <c r="R59" s="17"/>
      <c r="S59" s="17"/>
      <c r="T59" s="17"/>
      <c r="U59" s="17"/>
      <c r="V59" s="17"/>
    </row>
    <row r="60" spans="1:22" ht="15.75" customHeight="1" x14ac:dyDescent="0.2">
      <c r="A60" s="109"/>
      <c r="B60" s="109"/>
      <c r="C60" s="109"/>
      <c r="D60" s="109"/>
      <c r="E60" s="109"/>
      <c r="F60" s="109"/>
      <c r="G60" s="109"/>
      <c r="H60" s="109"/>
      <c r="I60" s="109"/>
      <c r="J60" s="109"/>
      <c r="K60" s="109"/>
      <c r="L60" s="109"/>
      <c r="M60" s="109"/>
      <c r="N60" s="109"/>
      <c r="O60" s="109"/>
      <c r="P60" s="109"/>
      <c r="Q60" s="109"/>
      <c r="R60" s="17"/>
      <c r="S60" s="17"/>
      <c r="T60" s="17"/>
      <c r="U60" s="17"/>
      <c r="V60" s="17"/>
    </row>
    <row r="61" spans="1:22" ht="15.75" customHeight="1" x14ac:dyDescent="0.2">
      <c r="A61" s="109"/>
      <c r="B61" s="110" t="s">
        <v>231</v>
      </c>
      <c r="C61" s="146"/>
      <c r="D61" s="109"/>
      <c r="E61" s="109"/>
      <c r="F61" s="109"/>
      <c r="G61" s="109"/>
      <c r="H61" s="109"/>
      <c r="I61" s="109"/>
      <c r="J61" s="109"/>
      <c r="K61" s="109"/>
      <c r="L61" s="109"/>
      <c r="M61" s="109"/>
      <c r="N61" s="109"/>
      <c r="O61" s="109"/>
      <c r="P61" s="109"/>
      <c r="Q61" s="109"/>
    </row>
    <row r="62" spans="1:22" ht="15.75" customHeight="1" x14ac:dyDescent="0.2">
      <c r="A62" s="109"/>
      <c r="B62" s="114" t="s">
        <v>232</v>
      </c>
      <c r="C62" s="147">
        <f>'DDM Model'!D13/'Residual Income Model'!C17</f>
        <v>21.637412238405211</v>
      </c>
      <c r="D62" s="109"/>
      <c r="E62" s="109"/>
      <c r="F62" s="148"/>
      <c r="G62" s="109"/>
      <c r="H62" s="109"/>
      <c r="I62" s="109"/>
      <c r="J62" s="109"/>
      <c r="K62" s="109"/>
      <c r="L62" s="109"/>
      <c r="M62" s="109"/>
      <c r="N62" s="109"/>
      <c r="O62" s="109"/>
      <c r="P62" s="109"/>
      <c r="Q62" s="109"/>
    </row>
    <row r="63" spans="1:22" ht="15.75" customHeight="1" x14ac:dyDescent="0.2">
      <c r="A63" s="109"/>
      <c r="B63" s="114" t="s">
        <v>233</v>
      </c>
      <c r="C63" s="149">
        <f>(('DDM Assumptions'!D48)*E32)+(('DDM Assumptions'!D50)*E47)</f>
        <v>19.772877859178926</v>
      </c>
      <c r="D63" s="109"/>
      <c r="E63" s="109"/>
      <c r="F63" s="148"/>
      <c r="G63" s="109"/>
      <c r="H63" s="109"/>
      <c r="I63" s="109"/>
      <c r="J63" s="109"/>
      <c r="K63" s="109"/>
      <c r="L63" s="109"/>
      <c r="M63" s="109"/>
      <c r="N63" s="109"/>
      <c r="O63" s="109"/>
      <c r="P63" s="109"/>
      <c r="Q63" s="109"/>
    </row>
    <row r="64" spans="1:22" ht="15.75" customHeight="1" x14ac:dyDescent="0.2">
      <c r="A64" s="109"/>
      <c r="B64" s="114" t="s">
        <v>234</v>
      </c>
      <c r="C64" s="150">
        <f>C62/C63-1</f>
        <v>9.4297572285904518E-2</v>
      </c>
      <c r="D64" s="109"/>
      <c r="E64" s="109"/>
      <c r="F64" s="151"/>
      <c r="G64" s="109"/>
      <c r="H64" s="109"/>
      <c r="I64" s="109"/>
      <c r="J64" s="109"/>
      <c r="K64" s="109"/>
      <c r="L64" s="109"/>
      <c r="M64" s="109"/>
      <c r="N64" s="109"/>
      <c r="O64" s="109"/>
      <c r="P64" s="109"/>
      <c r="Q64" s="109"/>
    </row>
    <row r="65" spans="1:17" ht="15.75" customHeight="1" x14ac:dyDescent="0.2">
      <c r="A65" s="109"/>
      <c r="B65" s="152" t="s">
        <v>235</v>
      </c>
      <c r="C65" s="109"/>
      <c r="D65" s="109"/>
      <c r="E65" s="109"/>
      <c r="F65" s="109"/>
      <c r="G65" s="109"/>
      <c r="H65" s="109"/>
      <c r="I65" s="109"/>
      <c r="J65" s="109"/>
      <c r="K65" s="109"/>
      <c r="L65" s="109"/>
      <c r="M65" s="109"/>
      <c r="N65" s="109"/>
      <c r="O65" s="109"/>
      <c r="P65" s="109"/>
      <c r="Q65" s="109"/>
    </row>
    <row r="66" spans="1:17" ht="15.75" customHeight="1" x14ac:dyDescent="0.2">
      <c r="A66" s="109"/>
      <c r="B66" s="207" t="s">
        <v>236</v>
      </c>
      <c r="C66" s="208">
        <f>C62</f>
        <v>21.637412238405211</v>
      </c>
      <c r="D66" s="109"/>
      <c r="E66" s="109"/>
      <c r="F66" s="109"/>
      <c r="G66" s="109"/>
      <c r="H66" s="109"/>
      <c r="I66" s="109"/>
      <c r="J66" s="109"/>
      <c r="K66" s="109"/>
      <c r="L66" s="109"/>
      <c r="M66" s="109"/>
      <c r="N66" s="109"/>
      <c r="O66" s="109"/>
      <c r="P66" s="109"/>
      <c r="Q66" s="109"/>
    </row>
    <row r="67" spans="1:17" ht="15.75" customHeight="1" x14ac:dyDescent="0.2">
      <c r="A67" s="109"/>
      <c r="B67" s="207" t="s">
        <v>237</v>
      </c>
      <c r="C67" s="208">
        <f>E32</f>
        <v>20.876591537712144</v>
      </c>
      <c r="D67" s="109"/>
      <c r="E67" s="109"/>
      <c r="F67" s="109"/>
      <c r="G67" s="109"/>
      <c r="H67" s="109"/>
      <c r="I67" s="109"/>
      <c r="J67" s="109"/>
      <c r="K67" s="109"/>
      <c r="L67" s="109"/>
      <c r="M67" s="109"/>
      <c r="N67" s="109"/>
      <c r="O67" s="109"/>
      <c r="P67" s="109"/>
      <c r="Q67" s="109"/>
    </row>
    <row r="68" spans="1:17" ht="15.75" customHeight="1" x14ac:dyDescent="0.2">
      <c r="A68" s="109"/>
      <c r="B68" s="207" t="s">
        <v>238</v>
      </c>
      <c r="C68" s="208">
        <f>E47</f>
        <v>17.677421455007163</v>
      </c>
      <c r="D68" s="109"/>
      <c r="E68" s="109"/>
      <c r="F68" s="109"/>
      <c r="G68" s="109"/>
      <c r="H68" s="109"/>
      <c r="I68" s="109"/>
      <c r="J68" s="109"/>
      <c r="K68" s="109"/>
      <c r="L68" s="109"/>
      <c r="M68" s="109"/>
      <c r="N68" s="109"/>
      <c r="O68" s="109"/>
      <c r="P68" s="109"/>
      <c r="Q68" s="109"/>
    </row>
    <row r="69" spans="1:17" ht="15.75" customHeight="1" x14ac:dyDescent="0.2">
      <c r="A69" s="109"/>
      <c r="B69" s="109"/>
      <c r="C69" s="109"/>
      <c r="D69" s="109"/>
      <c r="E69" s="109"/>
      <c r="F69" s="109"/>
      <c r="G69" s="109"/>
      <c r="H69" s="109"/>
      <c r="I69" s="109"/>
      <c r="J69" s="109"/>
      <c r="K69" s="109"/>
      <c r="L69" s="109"/>
      <c r="M69" s="109"/>
      <c r="N69" s="109"/>
      <c r="O69" s="109"/>
      <c r="P69" s="109"/>
      <c r="Q69" s="109"/>
    </row>
    <row r="70" spans="1:17" ht="15.75" customHeight="1" x14ac:dyDescent="0.2">
      <c r="A70" s="109"/>
      <c r="B70" s="109"/>
      <c r="C70" s="109"/>
      <c r="D70" s="109"/>
      <c r="E70" s="109"/>
      <c r="F70" s="109"/>
      <c r="G70" s="109"/>
      <c r="H70" s="109"/>
      <c r="I70" s="109"/>
      <c r="J70" s="109"/>
      <c r="K70" s="109"/>
      <c r="L70" s="109"/>
      <c r="M70" s="109"/>
      <c r="N70" s="109"/>
      <c r="O70" s="109"/>
      <c r="P70" s="109"/>
      <c r="Q70" s="109"/>
    </row>
    <row r="71" spans="1:17" ht="15.75" customHeight="1" x14ac:dyDescent="0.2">
      <c r="A71" s="109"/>
      <c r="B71" s="109"/>
      <c r="C71" s="109"/>
      <c r="D71" s="109"/>
      <c r="E71" s="109"/>
      <c r="F71" s="109"/>
      <c r="G71" s="109"/>
      <c r="H71" s="109"/>
      <c r="I71" s="109"/>
      <c r="J71" s="109"/>
      <c r="K71" s="109"/>
      <c r="L71" s="109"/>
      <c r="M71" s="109"/>
      <c r="N71" s="109"/>
      <c r="O71" s="109"/>
      <c r="P71" s="109"/>
      <c r="Q71" s="109"/>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81E5D"/>
  </sheetPr>
  <dimension ref="B1:M28"/>
  <sheetViews>
    <sheetView showGridLines="0" zoomScaleNormal="100" workbookViewId="0">
      <pane xSplit="2" ySplit="4" topLeftCell="C5" activePane="bottomRight" state="frozen"/>
      <selection pane="topRight" activeCell="C1" sqref="C1"/>
      <selection pane="bottomLeft" activeCell="A5" sqref="A5"/>
      <selection pane="bottomRight" activeCell="F32" sqref="F32"/>
    </sheetView>
  </sheetViews>
  <sheetFormatPr baseColWidth="10" defaultColWidth="8.85546875" defaultRowHeight="16" x14ac:dyDescent="0.2"/>
  <cols>
    <col min="1" max="1" width="1.7109375" customWidth="1"/>
    <col min="2" max="2" width="39.7109375" customWidth="1"/>
    <col min="3" max="12" width="10.42578125" customWidth="1"/>
  </cols>
  <sheetData>
    <row r="1" spans="2:13" ht="9" customHeight="1" x14ac:dyDescent="0.2"/>
    <row r="2" spans="2:13" ht="17" x14ac:dyDescent="0.2">
      <c r="B2" s="210" t="s">
        <v>239</v>
      </c>
      <c r="C2" s="211"/>
      <c r="D2" s="211"/>
      <c r="E2" s="211"/>
      <c r="F2" s="211"/>
      <c r="G2" s="211"/>
      <c r="H2" s="211"/>
      <c r="I2" s="211"/>
      <c r="J2" s="211"/>
      <c r="K2" s="211"/>
      <c r="L2" s="211"/>
    </row>
    <row r="3" spans="2:13" ht="17" x14ac:dyDescent="0.2">
      <c r="B3" s="212" t="s">
        <v>445</v>
      </c>
      <c r="C3" s="213"/>
      <c r="D3" s="213"/>
      <c r="E3" s="213"/>
      <c r="F3" s="213"/>
      <c r="G3" s="213"/>
      <c r="H3" s="213"/>
      <c r="I3" s="213"/>
      <c r="J3" s="213"/>
      <c r="K3" s="213"/>
      <c r="L3" s="213"/>
    </row>
    <row r="4" spans="2:13" ht="17" x14ac:dyDescent="0.2">
      <c r="B4" s="214" t="s">
        <v>240</v>
      </c>
      <c r="C4" s="215" t="s">
        <v>7</v>
      </c>
      <c r="D4" s="215" t="s">
        <v>8</v>
      </c>
      <c r="E4" s="216" t="s">
        <v>9</v>
      </c>
      <c r="F4" s="217" t="s">
        <v>10</v>
      </c>
      <c r="G4" s="217" t="s">
        <v>11</v>
      </c>
      <c r="H4" s="217" t="s">
        <v>12</v>
      </c>
      <c r="I4" s="217" t="s">
        <v>13</v>
      </c>
      <c r="J4" s="217" t="s">
        <v>14</v>
      </c>
      <c r="K4" s="217" t="s">
        <v>15</v>
      </c>
      <c r="L4" s="217" t="s">
        <v>16</v>
      </c>
    </row>
    <row r="5" spans="2:13" ht="17" x14ac:dyDescent="0.2">
      <c r="B5" s="218" t="s">
        <v>241</v>
      </c>
      <c r="C5" s="219">
        <f>'3-Statement Model'!J18</f>
        <v>28114</v>
      </c>
      <c r="D5" s="219">
        <f>'3-Statement Model'!K18</f>
        <v>24753</v>
      </c>
      <c r="E5" s="220">
        <f>'3-Statement Model'!L18</f>
        <v>27412</v>
      </c>
      <c r="F5" s="219">
        <f>'3-Statement Model'!M18</f>
        <v>30153.200000000001</v>
      </c>
      <c r="G5" s="219">
        <f>'3-Statement Model'!N18</f>
        <v>33168.520000000004</v>
      </c>
      <c r="H5" s="219">
        <f>'3-Statement Model'!O18</f>
        <v>36419.034960000005</v>
      </c>
      <c r="I5" s="219">
        <f>'3-Statement Model'!P18</f>
        <v>39878.843281200003</v>
      </c>
      <c r="J5" s="219">
        <f>'3-Statement Model'!Q18</f>
        <v>43587.575706351599</v>
      </c>
      <c r="K5" s="219">
        <f>'3-Statement Model'!R18</f>
        <v>47597.632671335952</v>
      </c>
      <c r="L5" s="219">
        <f>'3-Statement Model'!S18</f>
        <v>51929.017244427523</v>
      </c>
      <c r="M5" s="17"/>
    </row>
    <row r="6" spans="2:13" ht="17" x14ac:dyDescent="0.2">
      <c r="B6" s="221" t="s">
        <v>242</v>
      </c>
      <c r="C6" s="222">
        <f>'3-Statement Model'!J7</f>
        <v>0.34157281924031313</v>
      </c>
      <c r="D6" s="222">
        <f>'3-Statement Model'!K7</f>
        <v>-0.11954897915629226</v>
      </c>
      <c r="E6" s="223">
        <f>'3-Statement Model'!L7</f>
        <v>0.10742132266795945</v>
      </c>
      <c r="F6" s="222">
        <f>'3-Statement Model'!M7</f>
        <v>0.1</v>
      </c>
      <c r="G6" s="222">
        <f>'3-Statement Model'!N7</f>
        <v>0.1</v>
      </c>
      <c r="H6" s="222">
        <f>'3-Statement Model'!O7</f>
        <v>9.8000000000000004E-2</v>
      </c>
      <c r="I6" s="222">
        <f>'3-Statement Model'!P7</f>
        <v>9.5000000000000001E-2</v>
      </c>
      <c r="J6" s="222">
        <f>'3-Statement Model'!Q7</f>
        <v>9.2999999999999999E-2</v>
      </c>
      <c r="K6" s="222">
        <f>'3-Statement Model'!R7</f>
        <v>9.1999999999999998E-2</v>
      </c>
      <c r="L6" s="222">
        <f>'3-Statement Model'!S7</f>
        <v>9.0999999999999998E-2</v>
      </c>
      <c r="M6" s="17"/>
    </row>
    <row r="7" spans="2:13" ht="17" x14ac:dyDescent="0.2">
      <c r="B7" s="213"/>
      <c r="C7" s="213"/>
      <c r="D7" s="213"/>
      <c r="E7" s="224"/>
      <c r="F7" s="213"/>
      <c r="G7" s="213"/>
      <c r="H7" s="213"/>
      <c r="I7" s="213"/>
      <c r="J7" s="213"/>
      <c r="K7" s="213"/>
      <c r="L7" s="213"/>
      <c r="M7" s="17"/>
    </row>
    <row r="8" spans="2:13" ht="17" x14ac:dyDescent="0.2">
      <c r="B8" s="218" t="s">
        <v>54</v>
      </c>
      <c r="C8" s="219">
        <f>'3-Statement Model'!J22</f>
        <v>16116</v>
      </c>
      <c r="D8" s="219">
        <f>'3-Statement Model'!K22</f>
        <v>12941</v>
      </c>
      <c r="E8" s="220">
        <f>'3-Statement Model'!L22</f>
        <v>14860</v>
      </c>
      <c r="F8" s="219">
        <f>'3-Statement Model'!M22</f>
        <v>16373.187599999999</v>
      </c>
      <c r="G8" s="219">
        <f>'3-Statement Model'!N22</f>
        <v>18010.506359999999</v>
      </c>
      <c r="H8" s="219">
        <f>'3-Statement Model'!O22</f>
        <v>19775.535983280002</v>
      </c>
      <c r="I8" s="219">
        <f>'3-Statement Model'!P22</f>
        <v>21654.2119016916</v>
      </c>
      <c r="J8" s="219">
        <f>'3-Statement Model'!Q22</f>
        <v>23668.053608548922</v>
      </c>
      <c r="K8" s="219">
        <f>'3-Statement Model'!R22</f>
        <v>25845.51454053542</v>
      </c>
      <c r="L8" s="219">
        <f>'3-Statement Model'!S22</f>
        <v>28197.456363724144</v>
      </c>
      <c r="M8" s="17"/>
    </row>
    <row r="9" spans="2:13" ht="17" x14ac:dyDescent="0.2">
      <c r="B9" s="221" t="s">
        <v>243</v>
      </c>
      <c r="C9" s="222">
        <f t="shared" ref="C9:L9" si="0">C8/C5</f>
        <v>0.57323753290175716</v>
      </c>
      <c r="D9" s="222">
        <f t="shared" si="0"/>
        <v>0.52280531652728968</v>
      </c>
      <c r="E9" s="223">
        <f t="shared" si="0"/>
        <v>0.54209835108711513</v>
      </c>
      <c r="F9" s="222">
        <f t="shared" si="0"/>
        <v>0.54299999999999993</v>
      </c>
      <c r="G9" s="222">
        <f t="shared" si="0"/>
        <v>0.54299999999999993</v>
      </c>
      <c r="H9" s="222">
        <f t="shared" si="0"/>
        <v>0.54300000000000004</v>
      </c>
      <c r="I9" s="222">
        <f t="shared" si="0"/>
        <v>0.54299999999999993</v>
      </c>
      <c r="J9" s="222">
        <f t="shared" si="0"/>
        <v>0.54300000000000004</v>
      </c>
      <c r="K9" s="222">
        <f t="shared" si="0"/>
        <v>0.54299999999999993</v>
      </c>
      <c r="L9" s="222">
        <f t="shared" si="0"/>
        <v>0.54300000000000004</v>
      </c>
      <c r="M9" s="17"/>
    </row>
    <row r="10" spans="2:13" ht="17" x14ac:dyDescent="0.2">
      <c r="B10" s="213"/>
      <c r="C10" s="213"/>
      <c r="D10" s="213"/>
      <c r="E10" s="224"/>
      <c r="F10" s="213"/>
      <c r="G10" s="213"/>
      <c r="H10" s="213"/>
      <c r="I10" s="213"/>
      <c r="J10" s="213"/>
      <c r="K10" s="213"/>
      <c r="L10" s="213"/>
      <c r="M10" s="17"/>
    </row>
    <row r="11" spans="2:13" ht="17" x14ac:dyDescent="0.2">
      <c r="B11" s="218" t="s">
        <v>244</v>
      </c>
      <c r="C11" s="219">
        <f>'3-Statement Model'!J24</f>
        <v>10237</v>
      </c>
      <c r="D11" s="219">
        <f>'3-Statement Model'!K24</f>
        <v>7479</v>
      </c>
      <c r="E11" s="220">
        <f>'3-Statement Model'!L24</f>
        <v>8280</v>
      </c>
      <c r="F11" s="219">
        <f>'3-Statement Model'!M24</f>
        <v>9812.9135999999999</v>
      </c>
      <c r="G11" s="219">
        <f>'3-Statement Model'!N24</f>
        <v>10549.765548504</v>
      </c>
      <c r="H11" s="219">
        <f>'3-Statement Model'!O24</f>
        <v>11347.141558094836</v>
      </c>
      <c r="I11" s="219">
        <f>'3-Statement Model'!P24</f>
        <v>12217.288723968803</v>
      </c>
      <c r="J11" s="219">
        <f>'3-Statement Model'!Q24</f>
        <v>13181.111449440312</v>
      </c>
      <c r="K11" s="219">
        <f>'3-Statement Model'!R24</f>
        <v>14285.620607760649</v>
      </c>
      <c r="L11" s="219">
        <f>'3-Statement Model'!S24</f>
        <v>15536.451824991027</v>
      </c>
      <c r="M11" s="17"/>
    </row>
    <row r="12" spans="2:13" ht="17" x14ac:dyDescent="0.2">
      <c r="B12" s="221" t="s">
        <v>243</v>
      </c>
      <c r="C12" s="222">
        <f t="shared" ref="C12:L12" si="1">C11/C5</f>
        <v>0.36412463541296153</v>
      </c>
      <c r="D12" s="222">
        <f t="shared" si="1"/>
        <v>0.30214519452187616</v>
      </c>
      <c r="E12" s="223">
        <f t="shared" si="1"/>
        <v>0.30205749306872903</v>
      </c>
      <c r="F12" s="222">
        <f t="shared" si="1"/>
        <v>0.32543523075494474</v>
      </c>
      <c r="G12" s="222">
        <f t="shared" si="1"/>
        <v>0.31806561005748818</v>
      </c>
      <c r="H12" s="222">
        <f t="shared" si="1"/>
        <v>0.31157172535070476</v>
      </c>
      <c r="I12" s="222">
        <f t="shared" si="1"/>
        <v>0.30636015788673521</v>
      </c>
      <c r="J12" s="222">
        <f t="shared" si="1"/>
        <v>0.30240524360063353</v>
      </c>
      <c r="K12" s="222">
        <f t="shared" si="1"/>
        <v>0.30013300674854099</v>
      </c>
      <c r="L12" s="222">
        <f t="shared" si="1"/>
        <v>0.29918632489926883</v>
      </c>
      <c r="M12" s="17"/>
    </row>
    <row r="13" spans="2:13" ht="17" x14ac:dyDescent="0.2">
      <c r="B13" s="213"/>
      <c r="C13" s="213"/>
      <c r="D13" s="213"/>
      <c r="E13" s="224"/>
      <c r="F13" s="213"/>
      <c r="G13" s="213"/>
      <c r="H13" s="213"/>
      <c r="I13" s="213"/>
      <c r="J13" s="213"/>
      <c r="K13" s="213"/>
      <c r="L13" s="213"/>
      <c r="M13" s="17"/>
    </row>
    <row r="14" spans="2:13" ht="17" x14ac:dyDescent="0.2">
      <c r="B14" s="225" t="s">
        <v>245</v>
      </c>
      <c r="C14" s="226">
        <f>C11*(1-'3-Statement Model'!J12)</f>
        <v>8823.9344127332606</v>
      </c>
      <c r="D14" s="226">
        <f>D11*(1-'3-Statement Model'!K12)</f>
        <v>7059.0263375848936</v>
      </c>
      <c r="E14" s="227">
        <f>E11*(1-'3-Statement Model'!L12)</f>
        <v>9745.907284768211</v>
      </c>
      <c r="F14" s="226">
        <f>F11*(1-'3-Statement Model'!M12)</f>
        <v>9224.1387839999989</v>
      </c>
      <c r="G14" s="226">
        <f>G11*(1-'3-Statement Model'!N12)</f>
        <v>9811.2819601087194</v>
      </c>
      <c r="H14" s="226">
        <f>H11*(1-'3-Statement Model'!O12)</f>
        <v>10439.370233447249</v>
      </c>
      <c r="I14" s="226">
        <f>I11*(1-'3-Statement Model'!P12)</f>
        <v>11117.73273881161</v>
      </c>
      <c r="J14" s="226">
        <f>J11*(1-'3-Statement Model'!Q12)</f>
        <v>11863.000304496281</v>
      </c>
      <c r="K14" s="226">
        <f>K11*(1-'3-Statement Model'!R12)</f>
        <v>12857.058546984585</v>
      </c>
      <c r="L14" s="226">
        <f>L11*(1-'3-Statement Model'!S12)</f>
        <v>13982.806642491925</v>
      </c>
      <c r="M14" s="17"/>
    </row>
    <row r="15" spans="2:13" ht="17" x14ac:dyDescent="0.2">
      <c r="B15" s="213"/>
      <c r="C15" s="213"/>
      <c r="D15" s="213"/>
      <c r="E15" s="224"/>
      <c r="F15" s="213"/>
      <c r="G15" s="213"/>
      <c r="H15" s="213"/>
      <c r="I15" s="213"/>
      <c r="J15" s="213"/>
      <c r="K15" s="213"/>
      <c r="L15" s="213"/>
      <c r="M15" s="17"/>
    </row>
    <row r="16" spans="2:13" ht="17" x14ac:dyDescent="0.2">
      <c r="B16" s="228" t="s">
        <v>246</v>
      </c>
      <c r="C16" s="229">
        <f>-'3-Statement Model'!J23</f>
        <v>5879</v>
      </c>
      <c r="D16" s="229">
        <f>-'3-Statement Model'!K23</f>
        <v>5462</v>
      </c>
      <c r="E16" s="230">
        <f>-'3-Statement Model'!L23</f>
        <v>6580</v>
      </c>
      <c r="F16" s="229">
        <f>-'3-Statement Model'!M23</f>
        <v>6560.2740000000003</v>
      </c>
      <c r="G16" s="229">
        <f>-'3-Statement Model'!N23</f>
        <v>7460.7408114959999</v>
      </c>
      <c r="H16" s="229">
        <f>-'3-Statement Model'!O23</f>
        <v>8428.3944251851663</v>
      </c>
      <c r="I16" s="229">
        <f>-'3-Statement Model'!P23</f>
        <v>9436.9231777227978</v>
      </c>
      <c r="J16" s="229">
        <f>-'3-Statement Model'!Q23</f>
        <v>10486.94215910861</v>
      </c>
      <c r="K16" s="229">
        <f>-'3-Statement Model'!R23</f>
        <v>11559.89393277477</v>
      </c>
      <c r="L16" s="229">
        <f>-'3-Statement Model'!S23</f>
        <v>12661.004538733117</v>
      </c>
      <c r="M16" s="17"/>
    </row>
    <row r="17" spans="2:13" ht="17" x14ac:dyDescent="0.2">
      <c r="B17" s="228" t="s">
        <v>247</v>
      </c>
      <c r="C17" s="229">
        <f t="shared" ref="C17:L17" si="2">0.1378*C16</f>
        <v>810.12620000000004</v>
      </c>
      <c r="D17" s="229">
        <f t="shared" si="2"/>
        <v>752.66360000000009</v>
      </c>
      <c r="E17" s="230">
        <f t="shared" si="2"/>
        <v>906.72400000000005</v>
      </c>
      <c r="F17" s="229">
        <f t="shared" si="2"/>
        <v>904.00575720000006</v>
      </c>
      <c r="G17" s="229">
        <f t="shared" si="2"/>
        <v>1028.0900838241489</v>
      </c>
      <c r="H17" s="229">
        <f t="shared" si="2"/>
        <v>1161.432751790516</v>
      </c>
      <c r="I17" s="229">
        <f t="shared" si="2"/>
        <v>1300.4080138902016</v>
      </c>
      <c r="J17" s="229">
        <f t="shared" si="2"/>
        <v>1445.1006295251666</v>
      </c>
      <c r="K17" s="229">
        <f t="shared" si="2"/>
        <v>1592.9533839363635</v>
      </c>
      <c r="L17" s="229">
        <f t="shared" si="2"/>
        <v>1744.6864254374236</v>
      </c>
      <c r="M17" s="17"/>
    </row>
    <row r="18" spans="2:13" ht="17" x14ac:dyDescent="0.2">
      <c r="B18" s="228" t="s">
        <v>248</v>
      </c>
      <c r="C18" s="229">
        <f t="shared" ref="C18:L18" si="3">0.052*C16</f>
        <v>305.70799999999997</v>
      </c>
      <c r="D18" s="229">
        <f t="shared" si="3"/>
        <v>284.024</v>
      </c>
      <c r="E18" s="230">
        <f t="shared" si="3"/>
        <v>342.15999999999997</v>
      </c>
      <c r="F18" s="229">
        <f t="shared" si="3"/>
        <v>341.13424800000001</v>
      </c>
      <c r="G18" s="229">
        <f t="shared" si="3"/>
        <v>387.95852219779198</v>
      </c>
      <c r="H18" s="229">
        <f t="shared" si="3"/>
        <v>438.27651010962865</v>
      </c>
      <c r="I18" s="229">
        <f t="shared" si="3"/>
        <v>490.72000524158545</v>
      </c>
      <c r="J18" s="229">
        <f t="shared" si="3"/>
        <v>545.32099227364768</v>
      </c>
      <c r="K18" s="229">
        <f t="shared" si="3"/>
        <v>601.11448450428804</v>
      </c>
      <c r="L18" s="229">
        <f t="shared" si="3"/>
        <v>658.37223601412211</v>
      </c>
      <c r="M18" s="17"/>
    </row>
    <row r="19" spans="2:13" ht="17" x14ac:dyDescent="0.2">
      <c r="B19" s="231" t="s">
        <v>249</v>
      </c>
      <c r="C19" s="232">
        <f t="shared" ref="C19:L19" si="4">SUM(C16:C18)+C14</f>
        <v>15818.76861273326</v>
      </c>
      <c r="D19" s="232">
        <f t="shared" si="4"/>
        <v>13557.713937584893</v>
      </c>
      <c r="E19" s="233">
        <f t="shared" si="4"/>
        <v>17574.791284768209</v>
      </c>
      <c r="F19" s="232">
        <f t="shared" si="4"/>
        <v>17029.552789199999</v>
      </c>
      <c r="G19" s="232">
        <f t="shared" si="4"/>
        <v>18688.07137762666</v>
      </c>
      <c r="H19" s="232">
        <f t="shared" si="4"/>
        <v>20467.47392053256</v>
      </c>
      <c r="I19" s="232">
        <f t="shared" si="4"/>
        <v>22345.783935666193</v>
      </c>
      <c r="J19" s="232">
        <f t="shared" si="4"/>
        <v>24340.364085403708</v>
      </c>
      <c r="K19" s="232">
        <f t="shared" si="4"/>
        <v>26611.020348200007</v>
      </c>
      <c r="L19" s="232">
        <f t="shared" si="4"/>
        <v>29046.869842676588</v>
      </c>
      <c r="M19" s="17"/>
    </row>
    <row r="20" spans="2:13" ht="17" x14ac:dyDescent="0.2">
      <c r="B20" s="213"/>
      <c r="C20" s="213"/>
      <c r="D20" s="213"/>
      <c r="E20" s="224"/>
      <c r="F20" s="213"/>
      <c r="G20" s="213"/>
      <c r="H20" s="213"/>
      <c r="I20" s="213"/>
      <c r="J20" s="213"/>
      <c r="K20" s="213"/>
      <c r="L20" s="213"/>
      <c r="M20" s="17"/>
    </row>
    <row r="21" spans="2:13" ht="17" x14ac:dyDescent="0.2">
      <c r="B21" s="228" t="s">
        <v>250</v>
      </c>
      <c r="C21" s="229">
        <f>-0.209799*(C5-'3-Statement Model'!I18)</f>
        <v>-1501.7412420000001</v>
      </c>
      <c r="D21" s="229">
        <f t="shared" ref="D21:L21" si="5">-0.209799*(D5-C5)</f>
        <v>705.13443900000004</v>
      </c>
      <c r="E21" s="230">
        <f t="shared" si="5"/>
        <v>-557.85554100000002</v>
      </c>
      <c r="F21" s="229">
        <f t="shared" si="5"/>
        <v>-575.10101880000013</v>
      </c>
      <c r="G21" s="229">
        <f t="shared" si="5"/>
        <v>-632.61112068000079</v>
      </c>
      <c r="H21" s="229">
        <f t="shared" si="5"/>
        <v>-681.95478809304018</v>
      </c>
      <c r="I21" s="229">
        <f t="shared" si="5"/>
        <v>-725.86432597943849</v>
      </c>
      <c r="J21" s="229">
        <f t="shared" si="5"/>
        <v>-778.08835406437981</v>
      </c>
      <c r="K21" s="229">
        <f t="shared" si="5"/>
        <v>-841.30594119675231</v>
      </c>
      <c r="L21" s="229">
        <f t="shared" si="5"/>
        <v>-908.72015205003856</v>
      </c>
      <c r="M21" s="17"/>
    </row>
    <row r="22" spans="2:13" ht="17" x14ac:dyDescent="0.2">
      <c r="B22" s="228" t="s">
        <v>251</v>
      </c>
      <c r="C22" s="229">
        <f>-0.088283*(C5-'3-Statement Model'!I18)</f>
        <v>-631.92971399999999</v>
      </c>
      <c r="D22" s="229">
        <f t="shared" ref="D22:L22" si="6">-0.088283*(D5-C5)</f>
        <v>296.71916299999998</v>
      </c>
      <c r="E22" s="230">
        <f t="shared" si="6"/>
        <v>-234.744497</v>
      </c>
      <c r="F22" s="229">
        <f t="shared" si="6"/>
        <v>-242.00135960000006</v>
      </c>
      <c r="G22" s="229">
        <f t="shared" si="6"/>
        <v>-266.2014955600003</v>
      </c>
      <c r="H22" s="229">
        <f t="shared" si="6"/>
        <v>-286.96521221368005</v>
      </c>
      <c r="I22" s="229">
        <f t="shared" si="6"/>
        <v>-305.44225802049948</v>
      </c>
      <c r="J22" s="229">
        <f t="shared" si="6"/>
        <v>-327.41802468965841</v>
      </c>
      <c r="K22" s="229">
        <f t="shared" si="6"/>
        <v>-354.01985903971359</v>
      </c>
      <c r="L22" s="229">
        <f t="shared" si="6"/>
        <v>-382.38762426624317</v>
      </c>
      <c r="M22" s="17"/>
    </row>
    <row r="23" spans="2:13" ht="17" x14ac:dyDescent="0.2">
      <c r="B23" s="228" t="s">
        <v>252</v>
      </c>
      <c r="C23" s="229">
        <f>0.276631*(C5-'3-Statement Model'!I18)</f>
        <v>1980.1246980000001</v>
      </c>
      <c r="D23" s="229">
        <f t="shared" ref="D23:L23" si="7">0.276631*(D5-C5)</f>
        <v>-929.75679100000002</v>
      </c>
      <c r="E23" s="230">
        <f t="shared" si="7"/>
        <v>735.56182899999999</v>
      </c>
      <c r="F23" s="229">
        <f t="shared" si="7"/>
        <v>758.30089720000024</v>
      </c>
      <c r="G23" s="229">
        <f t="shared" si="7"/>
        <v>834.13098692000096</v>
      </c>
      <c r="H23" s="229">
        <f t="shared" si="7"/>
        <v>899.19320389976019</v>
      </c>
      <c r="I23" s="229">
        <f t="shared" si="7"/>
        <v>957.09023570187674</v>
      </c>
      <c r="J23" s="229">
        <f t="shared" si="7"/>
        <v>1025.9503595021113</v>
      </c>
      <c r="K23" s="229">
        <f t="shared" si="7"/>
        <v>1109.3060682805865</v>
      </c>
      <c r="L23" s="229">
        <f t="shared" si="7"/>
        <v>1198.1952458388944</v>
      </c>
      <c r="M23" s="17"/>
    </row>
    <row r="24" spans="2:13" ht="17" x14ac:dyDescent="0.2">
      <c r="B24" s="228" t="s">
        <v>253</v>
      </c>
      <c r="C24" s="229">
        <f>'3-Statement Model'!J35-SUM(C21:C23)</f>
        <v>-1727.4537420000001</v>
      </c>
      <c r="D24" s="229">
        <f>'3-Statement Model'!K35-SUM(D21:D23)</f>
        <v>-13.096811000000002</v>
      </c>
      <c r="E24" s="230">
        <f>'3-Statement Model'!L35-SUM(E21:E23)</f>
        <v>-577.96179099999995</v>
      </c>
      <c r="F24" s="229">
        <f>'3-Statement Model'!M35-SUM(F21:F23)</f>
        <v>-250.09851880000156</v>
      </c>
      <c r="G24" s="229">
        <f>'3-Statement Model'!N35-SUM(G21:G23)</f>
        <v>-275.1083706800008</v>
      </c>
      <c r="H24" s="229">
        <f>'3-Statement Model'!O35-SUM(H21:H23)</f>
        <v>-296.56682359302215</v>
      </c>
      <c r="I24" s="229">
        <f>'3-Statement Model'!P35-SUM(I21:I23)</f>
        <v>-315.66209560195421</v>
      </c>
      <c r="J24" s="229">
        <f>'3-Statement Model'!Q35-SUM(J21:J23)</f>
        <v>-338.37315269077135</v>
      </c>
      <c r="K24" s="229">
        <f>'3-Statement Model'!R35-SUM(K21:K23)</f>
        <v>-365.86506174165675</v>
      </c>
      <c r="L24" s="229">
        <f>'3-Statement Model'!S35-SUM(L21:L23)</f>
        <v>-395.1819882107709</v>
      </c>
      <c r="M24" s="17"/>
    </row>
    <row r="25" spans="2:13" ht="17" x14ac:dyDescent="0.2">
      <c r="B25" s="231" t="s">
        <v>254</v>
      </c>
      <c r="C25" s="232">
        <f t="shared" ref="C25:L25" si="8">SUM(C21:C24)</f>
        <v>-1881</v>
      </c>
      <c r="D25" s="232">
        <f t="shared" si="8"/>
        <v>59</v>
      </c>
      <c r="E25" s="233">
        <f t="shared" si="8"/>
        <v>-635</v>
      </c>
      <c r="F25" s="232">
        <f t="shared" si="8"/>
        <v>-308.90000000000146</v>
      </c>
      <c r="G25" s="232">
        <f t="shared" si="8"/>
        <v>-339.79000000000087</v>
      </c>
      <c r="H25" s="232">
        <f t="shared" si="8"/>
        <v>-366.29361999998218</v>
      </c>
      <c r="I25" s="232">
        <f t="shared" si="8"/>
        <v>-389.87844390001555</v>
      </c>
      <c r="J25" s="232">
        <f t="shared" si="8"/>
        <v>-417.9291719426983</v>
      </c>
      <c r="K25" s="232">
        <f t="shared" si="8"/>
        <v>-451.88479369753622</v>
      </c>
      <c r="L25" s="232">
        <f t="shared" si="8"/>
        <v>-488.09451868815813</v>
      </c>
      <c r="M25" s="17"/>
    </row>
    <row r="26" spans="2:13" ht="17" x14ac:dyDescent="0.2">
      <c r="B26" s="213"/>
      <c r="C26" s="213"/>
      <c r="D26" s="213"/>
      <c r="E26" s="224"/>
      <c r="F26" s="213"/>
      <c r="G26" s="213"/>
      <c r="H26" s="213"/>
      <c r="I26" s="213"/>
      <c r="J26" s="213"/>
      <c r="K26" s="213"/>
      <c r="L26" s="213"/>
      <c r="M26" s="17"/>
    </row>
    <row r="27" spans="2:13" ht="17" x14ac:dyDescent="0.2">
      <c r="B27" s="228" t="s">
        <v>255</v>
      </c>
      <c r="C27" s="229">
        <f>'3-Statement Model'!J37</f>
        <v>-25113</v>
      </c>
      <c r="D27" s="229">
        <f>'3-Statement Model'!K37</f>
        <v>-24729</v>
      </c>
      <c r="E27" s="230">
        <f>'3-Statement Model'!L37</f>
        <v>-24606</v>
      </c>
      <c r="F27" s="229">
        <f>'3-Statement Model'!M37</f>
        <v>-27999.959988000002</v>
      </c>
      <c r="G27" s="229">
        <f>'3-Statement Model'!N37</f>
        <v>-30500.112566000003</v>
      </c>
      <c r="H27" s="229">
        <f>'3-Statement Model'!O37</f>
        <v>-32440.983771319203</v>
      </c>
      <c r="I27" s="229">
        <f>'3-Statement Model'!P37</f>
        <v>-34437.375115480267</v>
      </c>
      <c r="J27" s="229">
        <f>'3-Statement Model'!Q37</f>
        <v>-36033.412960683803</v>
      </c>
      <c r="K27" s="229">
        <f>'3-Statement Model'!R37</f>
        <v>-37776.813122259206</v>
      </c>
      <c r="L27" s="229">
        <f>'3-Statement Model'!S37</f>
        <v>-38670.500561580287</v>
      </c>
      <c r="M27" s="17"/>
    </row>
    <row r="28" spans="2:13" ht="17" x14ac:dyDescent="0.2">
      <c r="B28" s="231" t="s">
        <v>256</v>
      </c>
      <c r="C28" s="232">
        <f t="shared" ref="C28:L28" si="9">C19+C25+C27</f>
        <v>-11175.23138726674</v>
      </c>
      <c r="D28" s="232">
        <f t="shared" si="9"/>
        <v>-11112.286062415107</v>
      </c>
      <c r="E28" s="233">
        <f t="shared" si="9"/>
        <v>-7666.2087152317908</v>
      </c>
      <c r="F28" s="232">
        <f t="shared" si="9"/>
        <v>-11279.307198800005</v>
      </c>
      <c r="G28" s="232">
        <f t="shared" si="9"/>
        <v>-12151.831188373344</v>
      </c>
      <c r="H28" s="232">
        <f t="shared" si="9"/>
        <v>-12339.803470786625</v>
      </c>
      <c r="I28" s="232">
        <f t="shared" si="9"/>
        <v>-12481.469623714089</v>
      </c>
      <c r="J28" s="232">
        <f t="shared" si="9"/>
        <v>-12110.978047222794</v>
      </c>
      <c r="K28" s="232">
        <f t="shared" si="9"/>
        <v>-11617.677567756735</v>
      </c>
      <c r="L28" s="232">
        <f t="shared" si="9"/>
        <v>-10111.725237591858</v>
      </c>
      <c r="M28" s="17"/>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81E5D"/>
  </sheetPr>
  <dimension ref="B1:L201"/>
  <sheetViews>
    <sheetView showGridLines="0" zoomScaleNormal="100" workbookViewId="0">
      <pane xSplit="2" ySplit="5" topLeftCell="C6" activePane="bottomRight" state="frozen"/>
      <selection pane="topRight" activeCell="D1" sqref="D1"/>
      <selection pane="bottomLeft" activeCell="A7" sqref="A7"/>
      <selection pane="bottomRight" activeCell="H2" sqref="H2"/>
    </sheetView>
  </sheetViews>
  <sheetFormatPr baseColWidth="10" defaultColWidth="10.5703125" defaultRowHeight="16" x14ac:dyDescent="0.2"/>
  <cols>
    <col min="1" max="1" width="1.7109375" customWidth="1"/>
    <col min="2" max="2" width="58" customWidth="1"/>
    <col min="3" max="3" width="13" customWidth="1"/>
    <col min="4" max="4" width="14.5703125" customWidth="1"/>
    <col min="5" max="12" width="13" customWidth="1"/>
  </cols>
  <sheetData>
    <row r="1" spans="2:12" ht="9.75" customHeight="1" x14ac:dyDescent="0.2"/>
    <row r="2" spans="2:12" ht="18.75" customHeight="1" x14ac:dyDescent="0.2">
      <c r="B2" s="1" t="s">
        <v>257</v>
      </c>
      <c r="C2" s="48"/>
      <c r="D2" s="48"/>
    </row>
    <row r="3" spans="2:12" ht="15.75" customHeight="1" x14ac:dyDescent="0.2">
      <c r="B3" s="153" t="s">
        <v>258</v>
      </c>
    </row>
    <row r="4" spans="2:12" ht="15.75" customHeight="1" x14ac:dyDescent="0.2">
      <c r="B4" s="153"/>
    </row>
    <row r="5" spans="2:12" ht="15.75" customHeight="1" x14ac:dyDescent="0.2">
      <c r="B5" s="154" t="s">
        <v>259</v>
      </c>
      <c r="C5" s="155" t="s">
        <v>260</v>
      </c>
      <c r="D5" s="155" t="s">
        <v>261</v>
      </c>
      <c r="E5" s="155" t="s">
        <v>262</v>
      </c>
      <c r="F5" s="155" t="s">
        <v>263</v>
      </c>
      <c r="G5" s="155" t="s">
        <v>264</v>
      </c>
      <c r="H5" s="155" t="s">
        <v>265</v>
      </c>
      <c r="I5" s="155" t="s">
        <v>266</v>
      </c>
      <c r="J5" s="155" t="s">
        <v>267</v>
      </c>
      <c r="K5" s="155" t="s">
        <v>268</v>
      </c>
      <c r="L5" s="155" t="s">
        <v>269</v>
      </c>
    </row>
    <row r="7" spans="2:12" ht="15.75" customHeight="1" x14ac:dyDescent="0.2">
      <c r="B7" s="154" t="s">
        <v>270</v>
      </c>
      <c r="C7" s="154"/>
      <c r="D7" s="154"/>
      <c r="E7" s="154"/>
      <c r="F7" s="154"/>
      <c r="G7" s="154"/>
      <c r="H7" s="154"/>
      <c r="I7" s="154"/>
      <c r="J7" s="154"/>
      <c r="K7" s="154"/>
      <c r="L7" s="154"/>
    </row>
    <row r="8" spans="2:12" ht="15.75" customHeight="1" x14ac:dyDescent="0.2">
      <c r="B8" t="s">
        <v>271</v>
      </c>
      <c r="C8" s="156">
        <v>16138</v>
      </c>
      <c r="D8" s="156">
        <v>17173</v>
      </c>
      <c r="E8" s="156">
        <v>16727</v>
      </c>
      <c r="F8" s="156">
        <v>19204</v>
      </c>
      <c r="G8" s="156">
        <v>17997</v>
      </c>
      <c r="H8" s="156">
        <v>17069</v>
      </c>
      <c r="I8" s="156">
        <v>20956</v>
      </c>
      <c r="J8" s="156">
        <v>28114</v>
      </c>
      <c r="K8" s="156">
        <v>24753</v>
      </c>
      <c r="L8" s="156">
        <v>27412</v>
      </c>
    </row>
    <row r="10" spans="2:12" ht="15.75" customHeight="1" x14ac:dyDescent="0.2">
      <c r="B10" s="157" t="s">
        <v>272</v>
      </c>
    </row>
    <row r="11" spans="2:12" ht="15.75" customHeight="1" x14ac:dyDescent="0.2">
      <c r="B11" s="65" t="s">
        <v>273</v>
      </c>
      <c r="C11" s="158">
        <v>3992</v>
      </c>
      <c r="D11" s="158">
        <v>4071</v>
      </c>
      <c r="E11" s="158">
        <v>3732</v>
      </c>
      <c r="F11" s="158">
        <v>4363</v>
      </c>
      <c r="G11" s="158">
        <v>3539</v>
      </c>
      <c r="H11" s="158">
        <v>4527</v>
      </c>
      <c r="I11" s="158">
        <v>6389</v>
      </c>
      <c r="J11" s="158">
        <v>5457</v>
      </c>
      <c r="K11" s="158">
        <v>5029</v>
      </c>
      <c r="L11" s="158">
        <v>4944</v>
      </c>
    </row>
    <row r="12" spans="2:12" ht="15.75" customHeight="1" x14ac:dyDescent="0.2">
      <c r="B12" s="65" t="s">
        <v>274</v>
      </c>
      <c r="C12" s="158">
        <v>3529</v>
      </c>
      <c r="D12" s="158">
        <v>4713</v>
      </c>
      <c r="E12" s="158">
        <v>3333</v>
      </c>
      <c r="F12" s="158">
        <v>3874</v>
      </c>
      <c r="G12" s="158">
        <v>3934</v>
      </c>
      <c r="H12" s="158">
        <v>3981</v>
      </c>
      <c r="I12" s="158">
        <v>4428</v>
      </c>
      <c r="J12" s="158">
        <v>4681</v>
      </c>
      <c r="K12" s="158">
        <v>4857</v>
      </c>
      <c r="L12" s="158">
        <v>5399</v>
      </c>
    </row>
    <row r="13" spans="2:12" ht="15.75" customHeight="1" x14ac:dyDescent="0.2">
      <c r="B13" s="65" t="s">
        <v>275</v>
      </c>
      <c r="C13" s="158">
        <v>3120</v>
      </c>
      <c r="D13" s="158">
        <v>2357</v>
      </c>
      <c r="E13" s="158">
        <v>3911</v>
      </c>
      <c r="F13" s="158">
        <v>4216</v>
      </c>
      <c r="G13" s="158">
        <v>4052</v>
      </c>
      <c r="H13" s="158">
        <v>3924</v>
      </c>
      <c r="I13" s="158">
        <v>4503</v>
      </c>
      <c r="J13" s="158">
        <v>5879</v>
      </c>
      <c r="K13" s="158">
        <v>5462</v>
      </c>
      <c r="L13" s="158">
        <v>6580</v>
      </c>
    </row>
    <row r="14" spans="2:12" ht="15.75" customHeight="1" x14ac:dyDescent="0.2">
      <c r="B14" s="65" t="s">
        <v>276</v>
      </c>
      <c r="C14" s="158">
        <v>1485</v>
      </c>
      <c r="D14" s="158">
        <v>1970</v>
      </c>
      <c r="E14" s="158">
        <v>1551</v>
      </c>
      <c r="F14" s="158">
        <v>1804</v>
      </c>
      <c r="G14" s="158">
        <v>1709</v>
      </c>
      <c r="H14" s="158">
        <v>1801</v>
      </c>
      <c r="I14" s="158">
        <v>2077</v>
      </c>
      <c r="J14" s="158">
        <v>2265</v>
      </c>
      <c r="K14" s="158">
        <v>2278</v>
      </c>
      <c r="L14" s="158">
        <v>2469</v>
      </c>
    </row>
    <row r="15" spans="2:12" ht="15.75" customHeight="1" x14ac:dyDescent="0.2">
      <c r="B15" s="159" t="s">
        <v>277</v>
      </c>
      <c r="C15" s="160">
        <v>12126</v>
      </c>
      <c r="D15" s="160">
        <v>13111</v>
      </c>
      <c r="E15" s="160">
        <v>12527</v>
      </c>
      <c r="F15" s="160">
        <v>14257</v>
      </c>
      <c r="G15" s="160">
        <v>13234</v>
      </c>
      <c r="H15" s="160">
        <v>14233</v>
      </c>
      <c r="I15" s="160">
        <v>17397</v>
      </c>
      <c r="J15" s="160">
        <v>18282</v>
      </c>
      <c r="K15" s="160">
        <v>17626</v>
      </c>
      <c r="L15" s="160">
        <v>19392</v>
      </c>
    </row>
    <row r="16" spans="2:12" ht="15.75" customHeight="1" x14ac:dyDescent="0.2">
      <c r="B16" s="161" t="s">
        <v>278</v>
      </c>
      <c r="C16" s="162">
        <v>447</v>
      </c>
      <c r="D16" s="162">
        <v>1111</v>
      </c>
      <c r="E16" s="162">
        <v>80</v>
      </c>
      <c r="F16" s="162">
        <v>406</v>
      </c>
      <c r="G16" s="162">
        <v>353</v>
      </c>
      <c r="H16" s="162">
        <v>77</v>
      </c>
      <c r="I16" s="162">
        <v>522</v>
      </c>
      <c r="J16" s="162">
        <v>405</v>
      </c>
      <c r="K16" s="162">
        <v>352</v>
      </c>
      <c r="L16" s="162">
        <v>260</v>
      </c>
    </row>
    <row r="17" spans="2:12" ht="15.75" customHeight="1" x14ac:dyDescent="0.2">
      <c r="B17" s="53" t="s">
        <v>279</v>
      </c>
      <c r="C17" s="156">
        <v>4459</v>
      </c>
      <c r="D17" s="156">
        <v>5173</v>
      </c>
      <c r="E17" s="156">
        <v>4280</v>
      </c>
      <c r="F17" s="156">
        <v>5353</v>
      </c>
      <c r="G17" s="156">
        <v>5116</v>
      </c>
      <c r="H17" s="156">
        <v>2913</v>
      </c>
      <c r="I17" s="156">
        <v>4081</v>
      </c>
      <c r="J17" s="156">
        <v>10237</v>
      </c>
      <c r="K17" s="156">
        <v>7479</v>
      </c>
      <c r="L17" s="156">
        <v>8280</v>
      </c>
    </row>
    <row r="18" spans="2:12" ht="15.75" customHeight="1" x14ac:dyDescent="0.2">
      <c r="B18" s="157" t="s">
        <v>280</v>
      </c>
      <c r="C18" s="163">
        <v>7579</v>
      </c>
      <c r="D18" s="163">
        <v>7530</v>
      </c>
      <c r="E18" s="163">
        <v>8191</v>
      </c>
      <c r="F18" s="163">
        <v>9569</v>
      </c>
      <c r="G18" s="163">
        <v>9168</v>
      </c>
      <c r="H18" s="163">
        <v>6837</v>
      </c>
      <c r="I18" s="163">
        <v>8584</v>
      </c>
      <c r="J18" s="163">
        <v>16116</v>
      </c>
      <c r="K18" s="163">
        <v>12941</v>
      </c>
      <c r="L18" s="163">
        <v>14860</v>
      </c>
    </row>
    <row r="20" spans="2:12" ht="15.75" customHeight="1" x14ac:dyDescent="0.2">
      <c r="B20" s="157" t="s">
        <v>281</v>
      </c>
    </row>
    <row r="21" spans="2:12" ht="15.75" customHeight="1" x14ac:dyDescent="0.2">
      <c r="B21" s="65" t="s">
        <v>282</v>
      </c>
      <c r="C21" s="158">
        <v>-1098</v>
      </c>
      <c r="D21" s="158">
        <v>-1558</v>
      </c>
      <c r="E21" s="158">
        <v>-1498</v>
      </c>
      <c r="F21" s="158">
        <v>-2249</v>
      </c>
      <c r="G21" s="158">
        <v>-1950</v>
      </c>
      <c r="H21" s="158">
        <v>-1270</v>
      </c>
      <c r="I21" s="158">
        <v>-585</v>
      </c>
      <c r="J21" s="158">
        <v>-3324</v>
      </c>
      <c r="K21" s="158">
        <v>-2235</v>
      </c>
      <c r="L21" s="158">
        <v>-4572</v>
      </c>
    </row>
    <row r="22" spans="2:12" ht="15.75" customHeight="1" x14ac:dyDescent="0.2">
      <c r="B22" s="65" t="s">
        <v>283</v>
      </c>
      <c r="C22" s="158">
        <v>148</v>
      </c>
      <c r="D22" s="158">
        <v>141</v>
      </c>
      <c r="E22" s="158">
        <v>358</v>
      </c>
      <c r="F22" s="158">
        <v>66</v>
      </c>
      <c r="G22" s="158">
        <v>-1351</v>
      </c>
      <c r="H22" s="158">
        <v>666</v>
      </c>
      <c r="I22" s="158">
        <v>203</v>
      </c>
      <c r="J22" s="158">
        <v>-648</v>
      </c>
      <c r="K22" s="158">
        <v>-246</v>
      </c>
      <c r="L22" s="158">
        <v>-184</v>
      </c>
    </row>
    <row r="23" spans="2:12" ht="15.75" customHeight="1" x14ac:dyDescent="0.2">
      <c r="B23" s="65" t="s">
        <v>284</v>
      </c>
      <c r="C23" s="158">
        <v>86</v>
      </c>
      <c r="D23" s="158">
        <v>92</v>
      </c>
      <c r="E23" s="158">
        <v>96</v>
      </c>
      <c r="F23" s="158">
        <v>67</v>
      </c>
      <c r="G23" s="158">
        <v>93</v>
      </c>
      <c r="H23" s="158">
        <v>142</v>
      </c>
      <c r="I23" s="158">
        <v>112</v>
      </c>
      <c r="J23" s="158">
        <v>161</v>
      </c>
      <c r="K23" s="158">
        <v>198</v>
      </c>
      <c r="L23" s="158">
        <v>181</v>
      </c>
    </row>
    <row r="24" spans="2:12" ht="15.75" customHeight="1" x14ac:dyDescent="0.2">
      <c r="B24" s="65" t="s">
        <v>285</v>
      </c>
      <c r="C24" s="158">
        <v>40</v>
      </c>
      <c r="D24" s="158">
        <v>112</v>
      </c>
      <c r="E24" s="158">
        <v>111</v>
      </c>
      <c r="F24" s="158">
        <v>55</v>
      </c>
      <c r="G24" s="158">
        <v>50</v>
      </c>
      <c r="H24" s="158">
        <v>70</v>
      </c>
      <c r="I24" s="158">
        <v>80</v>
      </c>
      <c r="J24" s="158">
        <v>125</v>
      </c>
      <c r="K24" s="158">
        <v>163</v>
      </c>
      <c r="L24" s="158">
        <v>179</v>
      </c>
    </row>
    <row r="25" spans="2:12" ht="15.75" customHeight="1" x14ac:dyDescent="0.2">
      <c r="B25" s="65" t="s">
        <v>286</v>
      </c>
      <c r="C25" s="158"/>
      <c r="D25" s="158"/>
      <c r="E25" s="158">
        <v>-189</v>
      </c>
      <c r="F25" s="158">
        <v>238</v>
      </c>
      <c r="G25" s="158">
        <v>163</v>
      </c>
      <c r="H25" s="158">
        <v>267</v>
      </c>
      <c r="I25" s="158">
        <v>-461</v>
      </c>
      <c r="J25" s="158">
        <v>159</v>
      </c>
      <c r="K25" s="158">
        <v>107</v>
      </c>
      <c r="L25" s="158">
        <v>107</v>
      </c>
    </row>
    <row r="26" spans="2:12" ht="15.75" customHeight="1" x14ac:dyDescent="0.2">
      <c r="B26" s="65" t="s">
        <v>287</v>
      </c>
      <c r="C26" s="158">
        <v>144</v>
      </c>
      <c r="D26" s="158">
        <v>151</v>
      </c>
      <c r="E26" s="158">
        <v>168</v>
      </c>
      <c r="F26" s="158">
        <v>185</v>
      </c>
      <c r="G26" s="158">
        <v>200</v>
      </c>
      <c r="H26" s="158">
        <v>257</v>
      </c>
      <c r="I26" s="158">
        <v>202</v>
      </c>
      <c r="J26" s="158">
        <v>245</v>
      </c>
      <c r="K26" s="158">
        <v>235</v>
      </c>
      <c r="L26" s="158">
        <v>267</v>
      </c>
    </row>
    <row r="27" spans="2:12" ht="15.75" customHeight="1" x14ac:dyDescent="0.2">
      <c r="B27" s="65" t="s">
        <v>288</v>
      </c>
      <c r="C27" s="158">
        <v>19</v>
      </c>
      <c r="D27" s="158">
        <v>11</v>
      </c>
      <c r="E27" s="158">
        <v>48</v>
      </c>
      <c r="F27" s="158">
        <v>67</v>
      </c>
      <c r="G27" s="158">
        <v>54</v>
      </c>
      <c r="H27" s="158">
        <v>130</v>
      </c>
      <c r="I27" s="158">
        <v>200</v>
      </c>
      <c r="J27" s="158">
        <v>333</v>
      </c>
      <c r="K27" s="158">
        <v>336</v>
      </c>
      <c r="L27" s="158">
        <v>272</v>
      </c>
    </row>
    <row r="28" spans="2:12" ht="15.75" customHeight="1" x14ac:dyDescent="0.2">
      <c r="B28" s="63" t="s">
        <v>289</v>
      </c>
      <c r="C28" s="164">
        <v>-81</v>
      </c>
      <c r="D28" s="164">
        <v>-510</v>
      </c>
      <c r="E28" s="164">
        <v>3072</v>
      </c>
      <c r="F28" s="164">
        <v>-1517</v>
      </c>
      <c r="G28" s="164">
        <v>-2703</v>
      </c>
      <c r="H28" s="164">
        <v>262</v>
      </c>
      <c r="I28" s="164">
        <v>-249</v>
      </c>
      <c r="J28" s="164">
        <v>-2949</v>
      </c>
      <c r="K28" s="164">
        <v>-1442</v>
      </c>
      <c r="L28" s="164">
        <v>-3750</v>
      </c>
    </row>
    <row r="29" spans="2:12" ht="15.75" customHeight="1" x14ac:dyDescent="0.2">
      <c r="B29" s="53" t="s">
        <v>290</v>
      </c>
      <c r="C29" s="156">
        <v>4378</v>
      </c>
      <c r="D29" s="156">
        <v>4663</v>
      </c>
      <c r="E29" s="156">
        <v>7352</v>
      </c>
      <c r="F29" s="156">
        <v>3836</v>
      </c>
      <c r="G29" s="156">
        <v>2413</v>
      </c>
      <c r="H29" s="156">
        <v>3175</v>
      </c>
      <c r="I29" s="156">
        <v>3832</v>
      </c>
      <c r="J29" s="156">
        <v>7288</v>
      </c>
      <c r="K29" s="156">
        <v>6037</v>
      </c>
      <c r="L29" s="156">
        <v>4530</v>
      </c>
    </row>
    <row r="30" spans="2:12" ht="15.75" customHeight="1" x14ac:dyDescent="0.2">
      <c r="B30" s="65" t="s">
        <v>291</v>
      </c>
      <c r="C30" s="158">
        <v>1379</v>
      </c>
      <c r="D30" s="158">
        <v>-660</v>
      </c>
      <c r="E30" s="158">
        <v>1576</v>
      </c>
      <c r="F30" s="158">
        <v>448</v>
      </c>
      <c r="G30" s="158">
        <v>44</v>
      </c>
      <c r="H30" s="158">
        <v>348</v>
      </c>
      <c r="I30" s="158">
        <v>586</v>
      </c>
      <c r="J30" s="158">
        <v>1006</v>
      </c>
      <c r="K30" s="158">
        <v>339</v>
      </c>
      <c r="L30" s="158">
        <v>-802</v>
      </c>
    </row>
    <row r="31" spans="2:12" ht="15.75" customHeight="1" x14ac:dyDescent="0.2">
      <c r="B31" s="159" t="s">
        <v>292</v>
      </c>
      <c r="C31" s="160">
        <v>2999</v>
      </c>
      <c r="D31" s="160">
        <v>5323</v>
      </c>
      <c r="E31" s="160">
        <v>5776</v>
      </c>
      <c r="F31" s="160">
        <v>3388</v>
      </c>
      <c r="G31" s="160">
        <v>2369</v>
      </c>
      <c r="H31" s="160">
        <v>2827</v>
      </c>
      <c r="I31" s="160">
        <v>3246</v>
      </c>
      <c r="J31" s="160">
        <v>6282</v>
      </c>
      <c r="K31" s="160">
        <v>5698</v>
      </c>
      <c r="L31" s="160">
        <v>5332</v>
      </c>
    </row>
    <row r="32" spans="2:12" ht="15.75" customHeight="1" x14ac:dyDescent="0.2">
      <c r="B32" s="161" t="s">
        <v>293</v>
      </c>
      <c r="C32" s="162">
        <v>-93</v>
      </c>
      <c r="D32" s="162">
        <v>57</v>
      </c>
      <c r="E32" s="162">
        <v>862</v>
      </c>
      <c r="F32" s="162">
        <v>381</v>
      </c>
      <c r="G32" s="162">
        <v>550</v>
      </c>
      <c r="H32" s="162">
        <v>746</v>
      </c>
      <c r="I32" s="162">
        <v>901</v>
      </c>
      <c r="J32" s="162">
        <v>1028</v>
      </c>
      <c r="K32" s="162">
        <v>1248</v>
      </c>
      <c r="L32" s="162">
        <v>1503</v>
      </c>
    </row>
    <row r="33" spans="2:12" ht="15.75" customHeight="1" x14ac:dyDescent="0.2">
      <c r="B33" s="53" t="s">
        <v>294</v>
      </c>
      <c r="C33" s="156">
        <v>2906</v>
      </c>
      <c r="D33" s="156">
        <v>5380</v>
      </c>
      <c r="E33" s="156">
        <v>6638</v>
      </c>
      <c r="F33" s="156">
        <v>3769</v>
      </c>
      <c r="G33" s="156">
        <v>2919</v>
      </c>
      <c r="H33" s="156">
        <v>3573</v>
      </c>
      <c r="I33" s="156">
        <v>4147</v>
      </c>
      <c r="J33" s="156">
        <v>7310</v>
      </c>
      <c r="K33" s="156">
        <v>6946</v>
      </c>
      <c r="L33" s="156">
        <v>6835</v>
      </c>
    </row>
    <row r="34" spans="2:12" ht="15.75" customHeight="1" x14ac:dyDescent="0.2">
      <c r="B34" s="157" t="s">
        <v>295</v>
      </c>
      <c r="C34" s="165">
        <v>1.57</v>
      </c>
      <c r="D34" s="165">
        <v>2.87</v>
      </c>
      <c r="E34" s="165">
        <v>3.51</v>
      </c>
      <c r="F34" s="165">
        <v>1.95</v>
      </c>
      <c r="G34" s="165">
        <v>1.49</v>
      </c>
      <c r="H34" s="165">
        <v>1.82</v>
      </c>
      <c r="I34" s="165">
        <v>2.1</v>
      </c>
      <c r="J34" s="165">
        <v>3.61</v>
      </c>
      <c r="K34" s="165">
        <v>3.38</v>
      </c>
      <c r="L34" s="165">
        <v>3.31</v>
      </c>
    </row>
    <row r="35" spans="2:12" ht="15.75" customHeight="1" x14ac:dyDescent="0.2">
      <c r="B35" s="157" t="s">
        <v>296</v>
      </c>
      <c r="C35" s="165">
        <v>1.56</v>
      </c>
      <c r="D35" s="165">
        <v>2.85</v>
      </c>
      <c r="E35" s="165">
        <v>3.47</v>
      </c>
      <c r="F35" s="165">
        <v>1.94</v>
      </c>
      <c r="G35" s="165">
        <v>1.48</v>
      </c>
      <c r="H35" s="165">
        <v>1.81</v>
      </c>
      <c r="I35" s="165">
        <v>2.1</v>
      </c>
      <c r="J35" s="165">
        <v>3.6</v>
      </c>
      <c r="K35" s="165">
        <v>3.37</v>
      </c>
      <c r="L35" s="165">
        <v>3.3</v>
      </c>
    </row>
    <row r="38" spans="2:12" ht="15.75" customHeight="1" x14ac:dyDescent="0.2">
      <c r="B38" s="154" t="s">
        <v>297</v>
      </c>
      <c r="C38" s="154"/>
      <c r="D38" s="154"/>
      <c r="E38" s="154"/>
      <c r="F38" s="154"/>
      <c r="G38" s="154"/>
      <c r="H38" s="154"/>
      <c r="I38" s="154"/>
      <c r="J38" s="154"/>
      <c r="K38" s="154"/>
      <c r="L38" s="154"/>
    </row>
    <row r="39" spans="2:12" ht="15.75" customHeight="1" x14ac:dyDescent="0.2">
      <c r="B39" s="157" t="s">
        <v>298</v>
      </c>
    </row>
    <row r="40" spans="2:12" ht="15.75" customHeight="1" x14ac:dyDescent="0.2">
      <c r="B40" s="65" t="s">
        <v>299</v>
      </c>
      <c r="C40" s="158">
        <v>2999</v>
      </c>
      <c r="D40" s="158">
        <v>5323</v>
      </c>
      <c r="E40" s="158">
        <v>5776</v>
      </c>
      <c r="F40" s="158">
        <v>3388</v>
      </c>
      <c r="G40" s="158">
        <v>2369</v>
      </c>
      <c r="H40" s="158">
        <v>2827</v>
      </c>
      <c r="I40" s="158">
        <v>3246</v>
      </c>
      <c r="J40" s="158">
        <v>6282</v>
      </c>
      <c r="K40" s="158">
        <v>5698</v>
      </c>
      <c r="L40" s="158">
        <v>5332</v>
      </c>
    </row>
    <row r="41" spans="2:12" ht="15.75" customHeight="1" x14ac:dyDescent="0.2">
      <c r="B41" s="65" t="s">
        <v>275</v>
      </c>
      <c r="C41" s="158">
        <v>3120</v>
      </c>
      <c r="D41" s="158">
        <v>2357</v>
      </c>
      <c r="E41" s="158">
        <v>3911</v>
      </c>
      <c r="F41" s="158">
        <v>4216</v>
      </c>
      <c r="G41" s="158">
        <v>4052</v>
      </c>
      <c r="H41" s="158">
        <v>3924</v>
      </c>
      <c r="I41" s="158">
        <v>4503</v>
      </c>
      <c r="J41" s="158">
        <v>5879</v>
      </c>
      <c r="K41" s="158">
        <v>5462</v>
      </c>
      <c r="L41" s="158">
        <v>6580</v>
      </c>
    </row>
    <row r="42" spans="2:12" ht="15.75" customHeight="1" x14ac:dyDescent="0.2">
      <c r="B42" s="65" t="s">
        <v>300</v>
      </c>
      <c r="C42" s="158">
        <v>308</v>
      </c>
      <c r="D42" s="158">
        <v>281</v>
      </c>
      <c r="E42" s="158">
        <v>236</v>
      </c>
      <c r="F42" s="158">
        <v>262</v>
      </c>
      <c r="G42" s="158">
        <v>263</v>
      </c>
      <c r="H42" s="158">
        <v>290</v>
      </c>
      <c r="I42" s="158">
        <v>287</v>
      </c>
      <c r="J42" s="158">
        <v>272</v>
      </c>
      <c r="K42" s="158">
        <v>299</v>
      </c>
      <c r="L42" s="158">
        <v>361</v>
      </c>
    </row>
    <row r="43" spans="2:12" ht="15.75" customHeight="1" x14ac:dyDescent="0.2">
      <c r="B43" s="65" t="s">
        <v>301</v>
      </c>
      <c r="C43" s="158">
        <v>-44</v>
      </c>
      <c r="D43" s="158">
        <v>436</v>
      </c>
      <c r="E43" s="158">
        <v>54</v>
      </c>
      <c r="F43" s="158">
        <v>-108</v>
      </c>
      <c r="G43" s="158">
        <v>533</v>
      </c>
      <c r="H43" s="158">
        <v>2005</v>
      </c>
      <c r="I43" s="158">
        <v>1378</v>
      </c>
      <c r="J43" s="158">
        <v>-1949</v>
      </c>
      <c r="K43" s="158">
        <v>-492</v>
      </c>
      <c r="L43" s="158">
        <v>199</v>
      </c>
    </row>
    <row r="44" spans="2:12" ht="15.75" customHeight="1" x14ac:dyDescent="0.2">
      <c r="B44" s="65" t="s">
        <v>302</v>
      </c>
      <c r="C44" s="158"/>
      <c r="D44" s="158"/>
      <c r="E44" s="158"/>
      <c r="F44" s="158"/>
      <c r="G44" s="158">
        <v>-163</v>
      </c>
      <c r="H44" s="158">
        <v>-267</v>
      </c>
      <c r="I44" s="158">
        <v>461</v>
      </c>
      <c r="J44" s="158">
        <v>-159</v>
      </c>
      <c r="K44" s="158">
        <v>-107</v>
      </c>
      <c r="L44" s="158">
        <v>-107</v>
      </c>
    </row>
    <row r="45" spans="2:12" ht="15.75" customHeight="1" x14ac:dyDescent="0.2">
      <c r="B45" s="65" t="s">
        <v>303</v>
      </c>
      <c r="C45" s="158">
        <v>13</v>
      </c>
      <c r="D45" s="158">
        <v>-25</v>
      </c>
      <c r="E45" s="158">
        <v>16</v>
      </c>
      <c r="F45" s="158">
        <v>17</v>
      </c>
      <c r="G45" s="158">
        <v>45</v>
      </c>
      <c r="H45" s="158">
        <v>-94</v>
      </c>
      <c r="I45" s="158">
        <v>-104</v>
      </c>
      <c r="J45" s="158">
        <v>92</v>
      </c>
      <c r="K45" s="158">
        <v>-85</v>
      </c>
      <c r="L45" s="158">
        <v>110</v>
      </c>
    </row>
    <row r="46" spans="2:12" ht="15.75" customHeight="1" x14ac:dyDescent="0.2">
      <c r="B46" s="65" t="s">
        <v>304</v>
      </c>
      <c r="C46" s="158">
        <v>1226</v>
      </c>
      <c r="D46" s="158">
        <v>-882</v>
      </c>
      <c r="E46" s="158">
        <v>1463</v>
      </c>
      <c r="F46" s="158">
        <v>258</v>
      </c>
      <c r="G46" s="158">
        <v>-78</v>
      </c>
      <c r="H46" s="158">
        <v>436</v>
      </c>
      <c r="I46" s="158">
        <v>534</v>
      </c>
      <c r="J46" s="158">
        <v>708</v>
      </c>
      <c r="K46" s="158">
        <v>1308</v>
      </c>
      <c r="L46" s="158">
        <v>453</v>
      </c>
    </row>
    <row r="47" spans="2:12" ht="15.75" customHeight="1" x14ac:dyDescent="0.2">
      <c r="B47" s="65" t="s">
        <v>305</v>
      </c>
      <c r="C47" s="158">
        <v>94</v>
      </c>
      <c r="D47" s="158">
        <v>82</v>
      </c>
      <c r="E47" s="158">
        <v>-225</v>
      </c>
      <c r="F47" s="158">
        <v>155</v>
      </c>
      <c r="G47" s="158">
        <v>-121</v>
      </c>
      <c r="H47" s="158">
        <v>-599</v>
      </c>
      <c r="I47" s="158">
        <v>-1465</v>
      </c>
      <c r="J47" s="158">
        <v>1104</v>
      </c>
      <c r="K47" s="158">
        <v>1016</v>
      </c>
      <c r="L47" s="158">
        <v>-89</v>
      </c>
    </row>
    <row r="48" spans="2:12" ht="15.75" customHeight="1" x14ac:dyDescent="0.2">
      <c r="B48" s="65" t="s">
        <v>306</v>
      </c>
      <c r="C48" s="158">
        <v>-148</v>
      </c>
      <c r="D48" s="158">
        <v>-141</v>
      </c>
      <c r="E48" s="158">
        <v>-358</v>
      </c>
      <c r="F48" s="158">
        <v>-66</v>
      </c>
      <c r="G48" s="158">
        <v>1351</v>
      </c>
      <c r="H48" s="158">
        <v>-666</v>
      </c>
      <c r="I48" s="158">
        <v>-203</v>
      </c>
      <c r="J48" s="158">
        <v>648</v>
      </c>
      <c r="K48" s="158">
        <v>246</v>
      </c>
      <c r="L48" s="158">
        <v>184</v>
      </c>
    </row>
    <row r="49" spans="2:12" ht="15.75" customHeight="1" x14ac:dyDescent="0.2">
      <c r="B49" s="65" t="s">
        <v>307</v>
      </c>
      <c r="C49" s="158">
        <v>102</v>
      </c>
      <c r="D49" s="158">
        <v>160</v>
      </c>
      <c r="E49" s="158">
        <v>328</v>
      </c>
      <c r="F49" s="158">
        <v>438</v>
      </c>
      <c r="G49" s="158">
        <v>456</v>
      </c>
      <c r="H49" s="158">
        <v>526</v>
      </c>
      <c r="I49" s="158">
        <v>541</v>
      </c>
      <c r="J49" s="158">
        <v>712</v>
      </c>
      <c r="K49" s="158">
        <v>811</v>
      </c>
      <c r="L49" s="158">
        <v>446</v>
      </c>
    </row>
    <row r="50" spans="2:12" ht="15.75" customHeight="1" x14ac:dyDescent="0.2">
      <c r="B50" s="65" t="s">
        <v>308</v>
      </c>
      <c r="C50" s="158">
        <v>-487</v>
      </c>
      <c r="D50" s="158">
        <v>-1223</v>
      </c>
      <c r="E50" s="158">
        <v>-191</v>
      </c>
      <c r="F50" s="158">
        <v>-461</v>
      </c>
      <c r="G50" s="158">
        <v>-403</v>
      </c>
      <c r="H50" s="158">
        <v>-146</v>
      </c>
      <c r="I50" s="158">
        <v>-602</v>
      </c>
      <c r="J50" s="158">
        <v>-530</v>
      </c>
      <c r="K50" s="158">
        <v>-515</v>
      </c>
      <c r="L50" s="158">
        <v>-439</v>
      </c>
    </row>
    <row r="51" spans="2:12" ht="15.75" customHeight="1" x14ac:dyDescent="0.2">
      <c r="B51" s="65" t="s">
        <v>309</v>
      </c>
      <c r="C51" s="158">
        <v>-223</v>
      </c>
      <c r="D51" s="158">
        <v>-108</v>
      </c>
      <c r="E51" s="158"/>
      <c r="F51" s="158">
        <v>-180</v>
      </c>
      <c r="G51" s="158">
        <v>-69</v>
      </c>
      <c r="H51" s="158">
        <v>-138</v>
      </c>
      <c r="I51" s="158">
        <v>-811</v>
      </c>
      <c r="J51" s="158">
        <v>-399</v>
      </c>
      <c r="K51" s="158">
        <v>-676</v>
      </c>
      <c r="L51" s="158">
        <v>-460</v>
      </c>
    </row>
    <row r="52" spans="2:12" ht="15.75" customHeight="1" x14ac:dyDescent="0.2">
      <c r="B52" s="65" t="s">
        <v>288</v>
      </c>
      <c r="C52" s="158">
        <v>-32</v>
      </c>
      <c r="D52" s="158">
        <v>109</v>
      </c>
      <c r="E52" s="158">
        <v>156</v>
      </c>
      <c r="F52" s="158">
        <v>-141</v>
      </c>
      <c r="G52" s="158">
        <v>189</v>
      </c>
      <c r="H52" s="158">
        <v>-59</v>
      </c>
      <c r="I52" s="158">
        <v>85</v>
      </c>
      <c r="J52" s="158">
        <v>34</v>
      </c>
      <c r="K52" s="158">
        <v>135</v>
      </c>
      <c r="L52" s="158">
        <v>288</v>
      </c>
    </row>
    <row r="53" spans="2:12" ht="15.75" customHeight="1" x14ac:dyDescent="0.2">
      <c r="B53" s="65" t="s">
        <v>310</v>
      </c>
      <c r="C53" s="158">
        <v>-146</v>
      </c>
      <c r="D53" s="158">
        <v>-333</v>
      </c>
      <c r="E53" s="158">
        <v>-631</v>
      </c>
      <c r="F53" s="158">
        <v>123</v>
      </c>
      <c r="G53" s="158">
        <v>-364</v>
      </c>
      <c r="H53" s="158">
        <v>-1267</v>
      </c>
      <c r="I53" s="158">
        <v>-1340</v>
      </c>
      <c r="J53" s="158">
        <v>58</v>
      </c>
      <c r="K53" s="158">
        <v>-382</v>
      </c>
      <c r="L53" s="158">
        <v>-920</v>
      </c>
    </row>
    <row r="54" spans="2:12" ht="15.75" customHeight="1" x14ac:dyDescent="0.2">
      <c r="B54" s="65" t="s">
        <v>311</v>
      </c>
      <c r="C54" s="158">
        <v>-58</v>
      </c>
      <c r="D54" s="158">
        <v>-60</v>
      </c>
      <c r="E54" s="158">
        <v>-220</v>
      </c>
      <c r="F54" s="158">
        <v>-93</v>
      </c>
      <c r="G54" s="158">
        <v>-234</v>
      </c>
      <c r="H54" s="158">
        <v>-324</v>
      </c>
      <c r="I54" s="158">
        <v>-89</v>
      </c>
      <c r="J54" s="158">
        <v>-408</v>
      </c>
      <c r="K54" s="158">
        <v>-473</v>
      </c>
      <c r="L54" s="158">
        <v>-440</v>
      </c>
    </row>
    <row r="55" spans="2:12" ht="15.75" customHeight="1" x14ac:dyDescent="0.2">
      <c r="B55" s="65" t="s">
        <v>312</v>
      </c>
      <c r="C55" s="158">
        <v>-32</v>
      </c>
      <c r="D55" s="158">
        <v>758</v>
      </c>
      <c r="E55" s="158">
        <v>163</v>
      </c>
      <c r="F55" s="158">
        <v>116</v>
      </c>
      <c r="G55" s="158">
        <v>-6</v>
      </c>
      <c r="H55" s="158">
        <v>1053</v>
      </c>
      <c r="I55" s="158">
        <v>1702</v>
      </c>
      <c r="J55" s="158">
        <v>-1109</v>
      </c>
      <c r="K55" s="158">
        <v>767</v>
      </c>
      <c r="L55" s="158">
        <v>487</v>
      </c>
    </row>
    <row r="56" spans="2:12" ht="15.75" customHeight="1" x14ac:dyDescent="0.2">
      <c r="B56" s="65" t="s">
        <v>313</v>
      </c>
      <c r="C56" s="158">
        <v>-21</v>
      </c>
      <c r="D56" s="158">
        <v>-19</v>
      </c>
      <c r="E56" s="158">
        <v>83</v>
      </c>
      <c r="F56" s="158">
        <v>231</v>
      </c>
      <c r="G56" s="158"/>
      <c r="H56" s="158">
        <v>52</v>
      </c>
      <c r="I56" s="158">
        <v>139</v>
      </c>
      <c r="J56" s="158">
        <v>66</v>
      </c>
      <c r="K56" s="158">
        <v>248</v>
      </c>
      <c r="L56" s="158">
        <v>500</v>
      </c>
    </row>
    <row r="57" spans="2:12" ht="15.75" customHeight="1" x14ac:dyDescent="0.2">
      <c r="B57" s="159" t="s">
        <v>314</v>
      </c>
      <c r="C57" s="160">
        <v>6369</v>
      </c>
      <c r="D57" s="160">
        <v>6458</v>
      </c>
      <c r="E57" s="160">
        <v>6593</v>
      </c>
      <c r="F57" s="160">
        <v>8155</v>
      </c>
      <c r="G57" s="160">
        <v>7983</v>
      </c>
      <c r="H57" s="160">
        <v>7553</v>
      </c>
      <c r="I57" s="160">
        <v>8262</v>
      </c>
      <c r="J57" s="160">
        <v>11301</v>
      </c>
      <c r="K57" s="160">
        <v>13260</v>
      </c>
      <c r="L57" s="160">
        <v>12485</v>
      </c>
    </row>
    <row r="59" spans="2:12" ht="15.75" customHeight="1" x14ac:dyDescent="0.2">
      <c r="B59" s="157" t="s">
        <v>315</v>
      </c>
    </row>
    <row r="60" spans="2:12" ht="15.75" customHeight="1" x14ac:dyDescent="0.2">
      <c r="B60" s="65" t="s">
        <v>316</v>
      </c>
      <c r="C60" s="158">
        <v>-3776</v>
      </c>
      <c r="D60" s="158">
        <v>-5174</v>
      </c>
      <c r="E60" s="158">
        <v>-5012</v>
      </c>
      <c r="F60" s="158">
        <v>-5560</v>
      </c>
      <c r="G60" s="158">
        <v>-6477</v>
      </c>
      <c r="H60" s="158">
        <v>-7408</v>
      </c>
      <c r="I60" s="158">
        <v>-9067</v>
      </c>
      <c r="J60" s="158">
        <v>-9302</v>
      </c>
      <c r="K60" s="158">
        <v>-7992</v>
      </c>
      <c r="L60" s="158">
        <v>-8719</v>
      </c>
    </row>
    <row r="61" spans="2:12" ht="15.75" customHeight="1" x14ac:dyDescent="0.2">
      <c r="B61" s="65" t="s">
        <v>317</v>
      </c>
      <c r="C61" s="158">
        <v>-5396</v>
      </c>
      <c r="D61" s="158">
        <v>-5295</v>
      </c>
      <c r="E61" s="158">
        <v>-6994</v>
      </c>
      <c r="F61" s="158">
        <v>-6385</v>
      </c>
      <c r="G61" s="158">
        <v>-6851</v>
      </c>
      <c r="H61" s="158">
        <v>-8247</v>
      </c>
      <c r="I61" s="158">
        <v>-9541</v>
      </c>
      <c r="J61" s="158">
        <v>-15565</v>
      </c>
      <c r="K61" s="158">
        <v>-16215</v>
      </c>
      <c r="L61" s="158">
        <v>-15332</v>
      </c>
    </row>
    <row r="62" spans="2:12" ht="15.75" customHeight="1" x14ac:dyDescent="0.2">
      <c r="B62" s="65" t="s">
        <v>318</v>
      </c>
      <c r="C62" s="158">
        <v>-283</v>
      </c>
      <c r="D62" s="158">
        <v>-197</v>
      </c>
      <c r="E62" s="158">
        <v>-267</v>
      </c>
      <c r="F62" s="158">
        <v>-315</v>
      </c>
      <c r="G62" s="158">
        <v>-245</v>
      </c>
      <c r="H62" s="158">
        <v>-275</v>
      </c>
      <c r="I62" s="158">
        <v>-223</v>
      </c>
      <c r="J62" s="158">
        <v>-185</v>
      </c>
      <c r="K62" s="158">
        <v>-399</v>
      </c>
      <c r="L62" s="158">
        <v>-553</v>
      </c>
    </row>
    <row r="63" spans="2:12" ht="15.75" customHeight="1" x14ac:dyDescent="0.2">
      <c r="B63" s="65" t="s">
        <v>319</v>
      </c>
      <c r="C63" s="158">
        <v>-181</v>
      </c>
      <c r="D63" s="158">
        <v>-74</v>
      </c>
      <c r="E63" s="158">
        <v>-731</v>
      </c>
      <c r="F63" s="158">
        <v>-5202</v>
      </c>
      <c r="G63" s="158">
        <v>-1037</v>
      </c>
      <c r="H63" s="158">
        <v>-147</v>
      </c>
      <c r="I63" s="158">
        <v>-452</v>
      </c>
      <c r="J63" s="158">
        <v>-61</v>
      </c>
      <c r="K63" s="158">
        <v>-123</v>
      </c>
      <c r="L63" s="158">
        <v>-2</v>
      </c>
    </row>
    <row r="64" spans="2:12" ht="15.75" customHeight="1" x14ac:dyDescent="0.2">
      <c r="B64" s="65" t="s">
        <v>320</v>
      </c>
      <c r="C64" s="158"/>
      <c r="D64" s="158"/>
      <c r="E64" s="158"/>
      <c r="F64" s="158"/>
      <c r="G64" s="158"/>
      <c r="H64" s="158"/>
      <c r="I64" s="158"/>
      <c r="J64" s="158">
        <v>924</v>
      </c>
      <c r="K64" s="158"/>
      <c r="L64" s="158"/>
    </row>
    <row r="65" spans="2:12" ht="15.75" customHeight="1" x14ac:dyDescent="0.2">
      <c r="B65" s="65" t="s">
        <v>321</v>
      </c>
      <c r="C65" s="158">
        <v>658</v>
      </c>
      <c r="D65" s="158">
        <v>1632</v>
      </c>
      <c r="E65" s="158">
        <v>1617</v>
      </c>
      <c r="F65" s="158">
        <v>1316</v>
      </c>
      <c r="G65" s="158">
        <v>1012</v>
      </c>
      <c r="H65" s="158">
        <v>2761</v>
      </c>
      <c r="I65" s="158">
        <v>1564</v>
      </c>
      <c r="J65" s="158">
        <v>1883</v>
      </c>
      <c r="K65" s="158">
        <v>2659</v>
      </c>
      <c r="L65" s="158">
        <v>1115</v>
      </c>
    </row>
    <row r="66" spans="2:12" ht="15.75" customHeight="1" x14ac:dyDescent="0.2">
      <c r="B66" s="65" t="s">
        <v>322</v>
      </c>
      <c r="C66" s="158">
        <v>3776</v>
      </c>
      <c r="D66" s="158">
        <v>3207</v>
      </c>
      <c r="E66" s="158">
        <v>3410</v>
      </c>
      <c r="F66" s="158">
        <v>4008</v>
      </c>
      <c r="G66" s="158">
        <v>3916</v>
      </c>
      <c r="H66" s="158">
        <v>4995</v>
      </c>
      <c r="I66" s="158">
        <v>3857</v>
      </c>
      <c r="J66" s="158">
        <v>4875</v>
      </c>
      <c r="K66" s="158">
        <v>5445</v>
      </c>
      <c r="L66" s="158">
        <v>5401</v>
      </c>
    </row>
    <row r="67" spans="2:12" ht="15.75" customHeight="1" x14ac:dyDescent="0.2">
      <c r="B67" s="65" t="s">
        <v>323</v>
      </c>
      <c r="C67" s="158">
        <v>-3829</v>
      </c>
      <c r="D67" s="158">
        <v>-3244</v>
      </c>
      <c r="E67" s="158">
        <v>-3733</v>
      </c>
      <c r="F67" s="158">
        <v>-4160</v>
      </c>
      <c r="G67" s="158">
        <v>-4100</v>
      </c>
      <c r="H67" s="158">
        <v>-5310</v>
      </c>
      <c r="I67" s="158">
        <v>-4586</v>
      </c>
      <c r="J67" s="158">
        <v>-5926</v>
      </c>
      <c r="K67" s="158">
        <v>-5623</v>
      </c>
      <c r="L67" s="158">
        <v>-5893</v>
      </c>
    </row>
    <row r="68" spans="2:12" ht="15.75" customHeight="1" x14ac:dyDescent="0.2">
      <c r="B68" s="65" t="s">
        <v>288</v>
      </c>
      <c r="C68" s="158">
        <v>985</v>
      </c>
      <c r="D68" s="158">
        <v>227</v>
      </c>
      <c r="E68" s="158">
        <v>760</v>
      </c>
      <c r="F68" s="158">
        <v>121</v>
      </c>
      <c r="G68" s="158">
        <v>83</v>
      </c>
      <c r="H68" s="158">
        <v>40</v>
      </c>
      <c r="I68" s="158">
        <v>89</v>
      </c>
      <c r="J68" s="158">
        <v>-110</v>
      </c>
      <c r="K68" s="158">
        <v>-16</v>
      </c>
      <c r="L68" s="158">
        <v>118</v>
      </c>
    </row>
    <row r="69" spans="2:12" ht="15.75" customHeight="1" x14ac:dyDescent="0.2">
      <c r="B69" s="159" t="s">
        <v>324</v>
      </c>
      <c r="C69" s="160">
        <v>-8046</v>
      </c>
      <c r="D69" s="160">
        <v>-8918</v>
      </c>
      <c r="E69" s="160">
        <v>-10950</v>
      </c>
      <c r="F69" s="160">
        <v>-16177</v>
      </c>
      <c r="G69" s="160">
        <v>-13699</v>
      </c>
      <c r="H69" s="160">
        <v>-13591</v>
      </c>
      <c r="I69" s="160">
        <v>-18359</v>
      </c>
      <c r="J69" s="160">
        <v>-23467</v>
      </c>
      <c r="K69" s="160">
        <v>-22264</v>
      </c>
      <c r="L69" s="160">
        <v>-23865</v>
      </c>
    </row>
    <row r="71" spans="2:12" ht="15.75" customHeight="1" x14ac:dyDescent="0.2">
      <c r="B71" s="157" t="s">
        <v>325</v>
      </c>
    </row>
    <row r="72" spans="2:12" ht="15.75" customHeight="1" x14ac:dyDescent="0.2">
      <c r="B72" s="65" t="s">
        <v>326</v>
      </c>
      <c r="C72" s="158">
        <v>5657</v>
      </c>
      <c r="D72" s="158">
        <v>8354</v>
      </c>
      <c r="E72" s="158">
        <v>4399</v>
      </c>
      <c r="F72" s="158">
        <v>13905</v>
      </c>
      <c r="G72" s="158">
        <v>12404</v>
      </c>
      <c r="H72" s="158">
        <v>16683</v>
      </c>
      <c r="I72" s="158">
        <v>13856</v>
      </c>
      <c r="J72" s="158">
        <v>13857</v>
      </c>
      <c r="K72" s="158">
        <v>24769</v>
      </c>
      <c r="L72" s="158">
        <v>23394</v>
      </c>
    </row>
    <row r="73" spans="2:12" ht="15.75" customHeight="1" x14ac:dyDescent="0.2">
      <c r="B73" s="65" t="s">
        <v>327</v>
      </c>
      <c r="C73" s="158">
        <v>-3310</v>
      </c>
      <c r="D73" s="158">
        <v>-6780</v>
      </c>
      <c r="E73" s="158">
        <v>-3102</v>
      </c>
      <c r="F73" s="158">
        <v>-5492</v>
      </c>
      <c r="G73" s="158">
        <v>-6103</v>
      </c>
      <c r="H73" s="158">
        <v>-9594</v>
      </c>
      <c r="I73" s="158">
        <v>-4525</v>
      </c>
      <c r="J73" s="158">
        <v>-7978</v>
      </c>
      <c r="K73" s="158">
        <v>-10113</v>
      </c>
      <c r="L73" s="158">
        <v>-10347</v>
      </c>
    </row>
    <row r="74" spans="2:12" ht="15.75" customHeight="1" x14ac:dyDescent="0.2">
      <c r="B74" s="65" t="s">
        <v>328</v>
      </c>
      <c r="C74" s="158">
        <v>1859</v>
      </c>
      <c r="D74" s="158">
        <v>1414</v>
      </c>
      <c r="E74" s="158">
        <v>1841</v>
      </c>
      <c r="F74" s="158">
        <v>1604</v>
      </c>
      <c r="G74" s="158">
        <v>3522</v>
      </c>
      <c r="H74" s="158">
        <v>2779</v>
      </c>
      <c r="I74" s="158">
        <v>4158</v>
      </c>
      <c r="J74" s="158">
        <v>2745</v>
      </c>
      <c r="K74" s="158">
        <v>2257</v>
      </c>
      <c r="L74" s="158">
        <v>3276</v>
      </c>
    </row>
    <row r="75" spans="2:12" ht="15.75" customHeight="1" x14ac:dyDescent="0.2">
      <c r="B75" s="65" t="s">
        <v>329</v>
      </c>
      <c r="C75" s="158"/>
      <c r="D75" s="158"/>
      <c r="E75" s="158"/>
      <c r="F75" s="158"/>
      <c r="G75" s="158"/>
      <c r="H75" s="158"/>
      <c r="I75" s="158"/>
      <c r="J75" s="158">
        <v>-75</v>
      </c>
      <c r="K75" s="158">
        <v>-740</v>
      </c>
      <c r="L75" s="158">
        <v>-516</v>
      </c>
    </row>
    <row r="76" spans="2:12" ht="15.75" customHeight="1" x14ac:dyDescent="0.2">
      <c r="B76" s="65" t="s">
        <v>330</v>
      </c>
      <c r="C76" s="158">
        <v>-106</v>
      </c>
      <c r="D76" s="158">
        <v>1419</v>
      </c>
      <c r="E76" s="158">
        <v>1062</v>
      </c>
      <c r="F76" s="158">
        <v>-234</v>
      </c>
      <c r="G76" s="158">
        <v>-965</v>
      </c>
      <c r="H76" s="158">
        <v>-169</v>
      </c>
      <c r="I76" s="158">
        <v>327</v>
      </c>
      <c r="J76" s="158">
        <v>2941</v>
      </c>
      <c r="K76" s="158">
        <v>-2980</v>
      </c>
      <c r="L76" s="158">
        <v>285</v>
      </c>
    </row>
    <row r="77" spans="2:12" ht="15.75" customHeight="1" x14ac:dyDescent="0.2">
      <c r="B77" s="65" t="s">
        <v>331</v>
      </c>
      <c r="C77" s="158">
        <v>500</v>
      </c>
      <c r="D77" s="158">
        <v>450</v>
      </c>
      <c r="E77" s="158">
        <v>5665</v>
      </c>
      <c r="F77" s="158">
        <v>200</v>
      </c>
      <c r="G77" s="158">
        <v>2158</v>
      </c>
      <c r="H77" s="158">
        <v>0</v>
      </c>
      <c r="I77" s="158">
        <v>1755</v>
      </c>
      <c r="J77" s="158">
        <v>1980</v>
      </c>
      <c r="K77" s="158">
        <v>6575</v>
      </c>
      <c r="L77" s="158">
        <v>2558</v>
      </c>
    </row>
    <row r="78" spans="2:12" ht="15.75" customHeight="1" x14ac:dyDescent="0.2">
      <c r="B78" s="65" t="s">
        <v>332</v>
      </c>
      <c r="C78" s="158">
        <v>-662</v>
      </c>
      <c r="D78" s="158">
        <v>-2</v>
      </c>
      <c r="E78" s="158">
        <v>-455</v>
      </c>
      <c r="F78" s="158">
        <v>-4765</v>
      </c>
      <c r="G78" s="158">
        <v>-2100</v>
      </c>
      <c r="H78" s="158">
        <v>-257</v>
      </c>
      <c r="I78" s="158">
        <v>-1125</v>
      </c>
      <c r="J78" s="158">
        <v>-2613</v>
      </c>
      <c r="K78" s="158">
        <v>-6613</v>
      </c>
      <c r="L78" s="158">
        <v>-2167</v>
      </c>
    </row>
    <row r="79" spans="2:12" ht="15.75" customHeight="1" x14ac:dyDescent="0.2">
      <c r="B79" s="65" t="s">
        <v>333</v>
      </c>
      <c r="C79" s="158"/>
      <c r="D79" s="158"/>
      <c r="E79" s="158">
        <v>-21</v>
      </c>
      <c r="F79" s="158">
        <v>-54</v>
      </c>
      <c r="G79" s="158">
        <v>-2</v>
      </c>
      <c r="H79" s="158">
        <v>47</v>
      </c>
      <c r="I79" s="158">
        <v>240</v>
      </c>
      <c r="J79" s="158">
        <v>1213</v>
      </c>
      <c r="K79" s="158">
        <v>-1371</v>
      </c>
      <c r="L79" s="158">
        <v>-131</v>
      </c>
    </row>
    <row r="80" spans="2:12" ht="15.75" customHeight="1" x14ac:dyDescent="0.2">
      <c r="B80" s="65" t="s">
        <v>334</v>
      </c>
      <c r="C80" s="158">
        <v>537</v>
      </c>
      <c r="D80" s="158">
        <v>603</v>
      </c>
      <c r="E80" s="158">
        <v>718</v>
      </c>
      <c r="F80" s="158">
        <v>1494</v>
      </c>
      <c r="G80" s="158">
        <v>-92</v>
      </c>
      <c r="H80" s="158">
        <v>14</v>
      </c>
      <c r="I80" s="158">
        <v>1460</v>
      </c>
      <c r="J80" s="158">
        <v>4514</v>
      </c>
      <c r="K80" s="158">
        <v>48</v>
      </c>
      <c r="L80" s="158">
        <v>2038</v>
      </c>
    </row>
    <row r="81" spans="2:12" ht="15.75" customHeight="1" x14ac:dyDescent="0.2">
      <c r="B81" s="65" t="s">
        <v>335</v>
      </c>
      <c r="C81" s="158"/>
      <c r="D81" s="158"/>
      <c r="E81" s="158"/>
      <c r="F81" s="158">
        <v>99</v>
      </c>
      <c r="G81" s="158">
        <v>501</v>
      </c>
      <c r="H81" s="158">
        <v>65</v>
      </c>
      <c r="I81" s="158"/>
      <c r="J81" s="158"/>
      <c r="K81" s="158"/>
      <c r="L81" s="158"/>
    </row>
    <row r="82" spans="2:12" ht="15.75" customHeight="1" x14ac:dyDescent="0.2">
      <c r="B82" s="65" t="s">
        <v>336</v>
      </c>
      <c r="C82" s="158">
        <v>-1612</v>
      </c>
      <c r="D82" s="158">
        <v>-1845</v>
      </c>
      <c r="E82" s="158">
        <v>-2101</v>
      </c>
      <c r="F82" s="158">
        <v>-2408</v>
      </c>
      <c r="G82" s="158">
        <v>-2743</v>
      </c>
      <c r="H82" s="158">
        <v>-3024</v>
      </c>
      <c r="I82" s="158">
        <v>-3352</v>
      </c>
      <c r="J82" s="158">
        <v>-3782</v>
      </c>
      <c r="K82" s="158">
        <v>-4235</v>
      </c>
      <c r="L82" s="158">
        <v>-4680</v>
      </c>
    </row>
    <row r="83" spans="2:12" ht="15.75" customHeight="1" x14ac:dyDescent="0.2">
      <c r="B83" s="65" t="s">
        <v>288</v>
      </c>
      <c r="C83" s="158">
        <v>-439</v>
      </c>
      <c r="D83" s="158">
        <v>-725</v>
      </c>
      <c r="E83" s="158">
        <v>-372</v>
      </c>
      <c r="F83" s="158">
        <v>-476</v>
      </c>
      <c r="G83" s="158">
        <v>-406</v>
      </c>
      <c r="H83" s="158">
        <v>-737</v>
      </c>
      <c r="I83" s="158">
        <v>-565</v>
      </c>
      <c r="J83" s="158">
        <v>-653</v>
      </c>
      <c r="K83" s="158">
        <v>-597</v>
      </c>
      <c r="L83" s="158">
        <v>-731</v>
      </c>
    </row>
    <row r="84" spans="2:12" ht="15.75" customHeight="1" x14ac:dyDescent="0.2">
      <c r="B84" s="159" t="s">
        <v>337</v>
      </c>
      <c r="C84" s="160">
        <v>2424</v>
      </c>
      <c r="D84" s="160">
        <v>2888</v>
      </c>
      <c r="E84" s="160">
        <v>7634</v>
      </c>
      <c r="F84" s="160">
        <v>3873</v>
      </c>
      <c r="G84" s="160">
        <v>6174</v>
      </c>
      <c r="H84" s="160">
        <v>5807</v>
      </c>
      <c r="I84" s="160">
        <v>12229</v>
      </c>
      <c r="J84" s="160">
        <v>12149</v>
      </c>
      <c r="K84" s="160">
        <v>7000</v>
      </c>
      <c r="L84" s="160">
        <v>12979</v>
      </c>
    </row>
    <row r="85" spans="2:12" ht="15.75" customHeight="1" x14ac:dyDescent="0.2">
      <c r="B85" s="161" t="s">
        <v>338</v>
      </c>
      <c r="C85" s="162">
        <v>10</v>
      </c>
      <c r="D85" s="162">
        <v>26</v>
      </c>
      <c r="E85" s="162">
        <v>-7</v>
      </c>
      <c r="F85" s="162">
        <v>4</v>
      </c>
      <c r="G85" s="162">
        <v>-20</v>
      </c>
      <c r="H85" s="162">
        <v>1</v>
      </c>
      <c r="I85" s="162">
        <v>-7</v>
      </c>
      <c r="J85" s="162">
        <v>-4</v>
      </c>
      <c r="K85" s="162">
        <v>-14</v>
      </c>
      <c r="L85" s="162">
        <v>5</v>
      </c>
    </row>
    <row r="86" spans="2:12" ht="15.75" customHeight="1" x14ac:dyDescent="0.2">
      <c r="B86" s="53" t="s">
        <v>339</v>
      </c>
      <c r="C86" s="156">
        <v>757</v>
      </c>
      <c r="D86" s="156">
        <v>454</v>
      </c>
      <c r="E86" s="156">
        <v>3270</v>
      </c>
      <c r="F86" s="156">
        <v>-4145</v>
      </c>
      <c r="G86" s="156">
        <v>438</v>
      </c>
      <c r="H86" s="156">
        <v>-230</v>
      </c>
      <c r="I86" s="156">
        <v>2125</v>
      </c>
      <c r="J86" s="156">
        <v>-21</v>
      </c>
      <c r="K86" s="156">
        <v>-2018</v>
      </c>
      <c r="L86" s="156">
        <v>1604</v>
      </c>
    </row>
    <row r="87" spans="2:12" ht="15.75" customHeight="1" x14ac:dyDescent="0.2">
      <c r="B87" s="65" t="s">
        <v>340</v>
      </c>
      <c r="C87" s="158">
        <v>772</v>
      </c>
      <c r="D87" s="158">
        <v>1529</v>
      </c>
      <c r="E87" s="158">
        <v>1983</v>
      </c>
      <c r="F87" s="158">
        <v>5253</v>
      </c>
      <c r="G87" s="158">
        <v>1108</v>
      </c>
      <c r="H87" s="158">
        <v>1546</v>
      </c>
      <c r="I87" s="158">
        <v>1316</v>
      </c>
      <c r="J87" s="158">
        <v>3441</v>
      </c>
      <c r="K87" s="158">
        <v>3420</v>
      </c>
      <c r="L87" s="158">
        <v>1402</v>
      </c>
    </row>
    <row r="88" spans="2:12" ht="15.75" customHeight="1" x14ac:dyDescent="0.2">
      <c r="B88" s="159" t="s">
        <v>341</v>
      </c>
      <c r="C88" s="160">
        <v>1529</v>
      </c>
      <c r="D88" s="160">
        <v>1983</v>
      </c>
      <c r="E88" s="160">
        <v>5253</v>
      </c>
      <c r="F88" s="160">
        <v>1108</v>
      </c>
      <c r="G88" s="160">
        <v>1546</v>
      </c>
      <c r="H88" s="160">
        <v>1316</v>
      </c>
      <c r="I88" s="160">
        <v>3441</v>
      </c>
      <c r="J88" s="160">
        <v>3420</v>
      </c>
      <c r="K88" s="160">
        <v>1402</v>
      </c>
      <c r="L88" s="160">
        <v>3006</v>
      </c>
    </row>
    <row r="89" spans="2:12" ht="15.75" customHeight="1" x14ac:dyDescent="0.2">
      <c r="B89" s="157" t="s">
        <v>342</v>
      </c>
      <c r="C89" s="163">
        <v>1194</v>
      </c>
      <c r="D89" s="163">
        <v>1186</v>
      </c>
      <c r="E89" s="163">
        <v>1209</v>
      </c>
      <c r="F89" s="163">
        <v>1799</v>
      </c>
      <c r="G89" s="163">
        <v>1432</v>
      </c>
      <c r="H89" s="163">
        <v>1323</v>
      </c>
      <c r="I89" s="163">
        <v>1375</v>
      </c>
      <c r="J89" s="163">
        <v>2463</v>
      </c>
      <c r="K89" s="163">
        <v>2737</v>
      </c>
      <c r="L89" s="163">
        <v>3501</v>
      </c>
    </row>
    <row r="92" spans="2:12" ht="15.75" customHeight="1" x14ac:dyDescent="0.2">
      <c r="B92" s="154" t="s">
        <v>343</v>
      </c>
      <c r="C92" s="154"/>
      <c r="D92" s="154"/>
      <c r="E92" s="154"/>
      <c r="F92" s="154"/>
      <c r="G92" s="154"/>
      <c r="H92" s="154"/>
      <c r="I92" s="154"/>
      <c r="J92" s="154"/>
      <c r="K92" s="154"/>
      <c r="L92" s="154"/>
    </row>
    <row r="93" spans="2:12" ht="15.75" customHeight="1" x14ac:dyDescent="0.2">
      <c r="B93" s="157" t="s">
        <v>344</v>
      </c>
    </row>
    <row r="94" spans="2:12" ht="15.75" customHeight="1" x14ac:dyDescent="0.2">
      <c r="B94" s="65" t="s">
        <v>345</v>
      </c>
      <c r="C94" s="158">
        <v>1292</v>
      </c>
      <c r="D94" s="158">
        <v>1714</v>
      </c>
      <c r="E94" s="158">
        <v>638</v>
      </c>
      <c r="F94" s="158">
        <v>600</v>
      </c>
      <c r="G94" s="158">
        <v>1105</v>
      </c>
      <c r="H94" s="158">
        <v>639</v>
      </c>
      <c r="I94" s="158">
        <v>1601</v>
      </c>
      <c r="J94" s="158">
        <v>2690</v>
      </c>
      <c r="K94" s="158">
        <v>1487</v>
      </c>
      <c r="L94" s="158">
        <v>2812</v>
      </c>
    </row>
    <row r="95" spans="2:12" ht="15.75" customHeight="1" x14ac:dyDescent="0.2">
      <c r="B95" s="65" t="s">
        <v>346</v>
      </c>
      <c r="C95" s="158">
        <v>1784</v>
      </c>
      <c r="D95" s="158">
        <v>2220</v>
      </c>
      <c r="E95" s="158">
        <v>2302</v>
      </c>
      <c r="F95" s="158">
        <v>2282</v>
      </c>
      <c r="G95" s="158">
        <v>2263</v>
      </c>
      <c r="H95" s="158">
        <v>3378</v>
      </c>
      <c r="I95" s="158">
        <v>4349</v>
      </c>
      <c r="J95" s="158">
        <v>3609</v>
      </c>
      <c r="K95" s="158">
        <v>3336</v>
      </c>
      <c r="L95" s="158">
        <v>4018</v>
      </c>
    </row>
    <row r="96" spans="2:12" ht="15.75" customHeight="1" x14ac:dyDescent="0.2">
      <c r="B96" s="65" t="s">
        <v>347</v>
      </c>
      <c r="C96" s="158">
        <v>655</v>
      </c>
      <c r="D96" s="158">
        <v>517</v>
      </c>
      <c r="E96" s="158">
        <v>667</v>
      </c>
      <c r="F96" s="158">
        <v>525</v>
      </c>
      <c r="G96" s="158">
        <v>711</v>
      </c>
      <c r="H96" s="158">
        <v>730</v>
      </c>
      <c r="I96" s="158">
        <v>744</v>
      </c>
      <c r="J96" s="158">
        <v>944</v>
      </c>
      <c r="K96" s="158">
        <v>1180</v>
      </c>
      <c r="L96" s="158">
        <v>1733</v>
      </c>
    </row>
    <row r="97" spans="2:12" ht="15.75" customHeight="1" x14ac:dyDescent="0.2">
      <c r="B97" s="65" t="s">
        <v>348</v>
      </c>
      <c r="C97" s="158">
        <v>1289</v>
      </c>
      <c r="D97" s="158">
        <v>1273</v>
      </c>
      <c r="E97" s="158">
        <v>1223</v>
      </c>
      <c r="F97" s="158">
        <v>1328</v>
      </c>
      <c r="G97" s="158">
        <v>1552</v>
      </c>
      <c r="H97" s="158">
        <v>1561</v>
      </c>
      <c r="I97" s="158">
        <v>1934</v>
      </c>
      <c r="J97" s="158">
        <v>2106</v>
      </c>
      <c r="K97" s="158">
        <v>2214</v>
      </c>
      <c r="L97" s="158">
        <v>2420</v>
      </c>
    </row>
    <row r="98" spans="2:12" ht="15.75" customHeight="1" x14ac:dyDescent="0.2">
      <c r="B98" s="65" t="s">
        <v>349</v>
      </c>
      <c r="C98" s="158">
        <v>524</v>
      </c>
      <c r="D98" s="158">
        <v>336</v>
      </c>
      <c r="E98" s="158">
        <v>448</v>
      </c>
      <c r="F98" s="158">
        <v>335</v>
      </c>
      <c r="G98" s="158">
        <v>377</v>
      </c>
      <c r="H98" s="158">
        <v>1125</v>
      </c>
      <c r="I98" s="158">
        <v>2165</v>
      </c>
      <c r="J98" s="158">
        <v>1460</v>
      </c>
      <c r="K98" s="158">
        <v>1417</v>
      </c>
      <c r="L98" s="158">
        <v>433</v>
      </c>
    </row>
    <row r="99" spans="2:12" ht="15.75" customHeight="1" x14ac:dyDescent="0.2">
      <c r="B99" s="65" t="s">
        <v>350</v>
      </c>
      <c r="C99" s="158">
        <v>885</v>
      </c>
      <c r="D99" s="158">
        <v>489</v>
      </c>
      <c r="E99" s="158">
        <v>564</v>
      </c>
      <c r="F99" s="158">
        <v>762</v>
      </c>
      <c r="G99" s="158">
        <v>570</v>
      </c>
      <c r="H99" s="158">
        <v>689</v>
      </c>
      <c r="I99" s="158">
        <v>1590</v>
      </c>
      <c r="J99" s="158">
        <v>1730</v>
      </c>
      <c r="K99" s="158">
        <v>879</v>
      </c>
      <c r="L99" s="158">
        <v>997</v>
      </c>
    </row>
    <row r="100" spans="2:12" ht="15.75" customHeight="1" x14ac:dyDescent="0.2">
      <c r="B100" s="65" t="s">
        <v>351</v>
      </c>
      <c r="C100" s="158"/>
      <c r="D100" s="158"/>
      <c r="E100" s="158"/>
      <c r="F100" s="158"/>
      <c r="G100" s="158"/>
      <c r="H100" s="158"/>
      <c r="I100" s="158"/>
      <c r="J100" s="158">
        <v>1487</v>
      </c>
      <c r="K100" s="158"/>
      <c r="L100" s="158"/>
    </row>
    <row r="101" spans="2:12" ht="15.75" customHeight="1" x14ac:dyDescent="0.2">
      <c r="B101" s="65" t="s">
        <v>352</v>
      </c>
      <c r="C101" s="158">
        <v>980</v>
      </c>
      <c r="D101" s="158">
        <v>632</v>
      </c>
      <c r="E101" s="158">
        <v>551</v>
      </c>
      <c r="F101" s="158">
        <v>1576</v>
      </c>
      <c r="G101" s="158">
        <v>804</v>
      </c>
      <c r="H101" s="158">
        <v>1166</v>
      </c>
      <c r="I101" s="158">
        <v>1107</v>
      </c>
      <c r="J101" s="158">
        <v>1335</v>
      </c>
      <c r="K101" s="158">
        <v>1438</v>
      </c>
      <c r="L101" s="158">
        <v>1171</v>
      </c>
    </row>
    <row r="102" spans="2:12" ht="15.75" customHeight="1" x14ac:dyDescent="0.2">
      <c r="B102" s="159" t="s">
        <v>353</v>
      </c>
      <c r="C102" s="160">
        <v>7409</v>
      </c>
      <c r="D102" s="160">
        <v>7181</v>
      </c>
      <c r="E102" s="160">
        <v>6393</v>
      </c>
      <c r="F102" s="160">
        <v>7408</v>
      </c>
      <c r="G102" s="160">
        <v>7382</v>
      </c>
      <c r="H102" s="160">
        <v>9288</v>
      </c>
      <c r="I102" s="160">
        <v>13490</v>
      </c>
      <c r="J102" s="160">
        <v>15361</v>
      </c>
      <c r="K102" s="160">
        <v>11951</v>
      </c>
      <c r="L102" s="160">
        <v>13584</v>
      </c>
    </row>
    <row r="103" spans="2:12" ht="15.75" customHeight="1" x14ac:dyDescent="0.2">
      <c r="B103" s="157" t="s">
        <v>354</v>
      </c>
    </row>
    <row r="104" spans="2:12" ht="15.75" customHeight="1" x14ac:dyDescent="0.2">
      <c r="B104" s="65" t="s">
        <v>355</v>
      </c>
      <c r="C104" s="158">
        <v>66912</v>
      </c>
      <c r="D104" s="158">
        <v>72289</v>
      </c>
      <c r="E104" s="158">
        <v>70334</v>
      </c>
      <c r="F104" s="158">
        <v>82010</v>
      </c>
      <c r="G104" s="158">
        <v>91803</v>
      </c>
      <c r="H104" s="158">
        <v>99348</v>
      </c>
      <c r="I104" s="158">
        <v>111059</v>
      </c>
      <c r="J104" s="158">
        <v>125776</v>
      </c>
      <c r="K104" s="158">
        <v>138852</v>
      </c>
      <c r="L104" s="158">
        <v>156197</v>
      </c>
    </row>
    <row r="105" spans="2:12" ht="15.75" customHeight="1" x14ac:dyDescent="0.2">
      <c r="B105" s="65" t="s">
        <v>356</v>
      </c>
      <c r="C105" s="158">
        <v>5434</v>
      </c>
      <c r="D105" s="158">
        <v>6003</v>
      </c>
      <c r="E105" s="158">
        <v>5886</v>
      </c>
      <c r="F105" s="158">
        <v>6954</v>
      </c>
      <c r="G105" s="158">
        <v>7779</v>
      </c>
      <c r="H105" s="158">
        <v>8922</v>
      </c>
      <c r="I105" s="158">
        <v>7496</v>
      </c>
      <c r="J105" s="158">
        <v>8698</v>
      </c>
      <c r="K105" s="158">
        <v>9800</v>
      </c>
      <c r="L105" s="158">
        <v>10954</v>
      </c>
    </row>
    <row r="106" spans="2:12" ht="15.75" customHeight="1" x14ac:dyDescent="0.2">
      <c r="B106" s="65" t="s">
        <v>357</v>
      </c>
      <c r="C106" s="158">
        <v>2482</v>
      </c>
      <c r="D106" s="158">
        <v>2321</v>
      </c>
      <c r="E106" s="158">
        <v>6748</v>
      </c>
      <c r="F106" s="158">
        <v>7453</v>
      </c>
      <c r="G106" s="158">
        <v>5728</v>
      </c>
      <c r="H106" s="158">
        <v>6159</v>
      </c>
      <c r="I106" s="158">
        <v>6582</v>
      </c>
      <c r="J106" s="158">
        <v>6156</v>
      </c>
      <c r="K106" s="158">
        <v>6118</v>
      </c>
      <c r="L106" s="158">
        <v>5528</v>
      </c>
    </row>
    <row r="107" spans="2:12" ht="15.75" customHeight="1" x14ac:dyDescent="0.2">
      <c r="B107" s="65" t="s">
        <v>358</v>
      </c>
      <c r="C107" s="158">
        <v>1177</v>
      </c>
      <c r="D107" s="158">
        <v>1427</v>
      </c>
      <c r="E107" s="158">
        <v>1284</v>
      </c>
      <c r="F107" s="158">
        <v>1437</v>
      </c>
      <c r="G107" s="158">
        <v>1707</v>
      </c>
      <c r="H107" s="158">
        <v>2243</v>
      </c>
      <c r="I107" s="158">
        <v>1832</v>
      </c>
      <c r="J107" s="158">
        <v>2112</v>
      </c>
      <c r="K107" s="158">
        <v>2496</v>
      </c>
      <c r="L107" s="158">
        <v>2868</v>
      </c>
    </row>
    <row r="108" spans="2:12" ht="15.75" customHeight="1" x14ac:dyDescent="0.2">
      <c r="B108" s="65" t="s">
        <v>349</v>
      </c>
      <c r="C108" s="158">
        <v>1894</v>
      </c>
      <c r="D108" s="158">
        <v>2469</v>
      </c>
      <c r="E108" s="158">
        <v>3290</v>
      </c>
      <c r="F108" s="158">
        <v>3287</v>
      </c>
      <c r="G108" s="158">
        <v>3712</v>
      </c>
      <c r="H108" s="158">
        <v>4578</v>
      </c>
      <c r="I108" s="158">
        <v>5992</v>
      </c>
      <c r="J108" s="158">
        <v>4801</v>
      </c>
      <c r="K108" s="158">
        <v>4828</v>
      </c>
      <c r="L108" s="158">
        <v>5639</v>
      </c>
    </row>
    <row r="109" spans="2:12" ht="15.75" customHeight="1" x14ac:dyDescent="0.2">
      <c r="B109" s="65" t="s">
        <v>350</v>
      </c>
      <c r="C109" s="158">
        <v>1350</v>
      </c>
      <c r="D109" s="158">
        <v>1315</v>
      </c>
      <c r="E109" s="158">
        <v>1355</v>
      </c>
      <c r="F109" s="158">
        <v>1624</v>
      </c>
      <c r="G109" s="158">
        <v>1647</v>
      </c>
      <c r="H109" s="158">
        <v>1135</v>
      </c>
      <c r="I109" s="158">
        <v>1935</v>
      </c>
      <c r="J109" s="158">
        <v>1790</v>
      </c>
      <c r="K109" s="158">
        <v>1774</v>
      </c>
      <c r="L109" s="158">
        <v>1998</v>
      </c>
    </row>
    <row r="110" spans="2:12" ht="15.75" customHeight="1" x14ac:dyDescent="0.2">
      <c r="B110" s="65" t="s">
        <v>359</v>
      </c>
      <c r="C110" s="158">
        <v>779</v>
      </c>
      <c r="D110" s="158">
        <v>764</v>
      </c>
      <c r="E110" s="158">
        <v>891</v>
      </c>
      <c r="F110" s="158">
        <v>4204</v>
      </c>
      <c r="G110" s="158">
        <v>4254</v>
      </c>
      <c r="H110" s="158">
        <v>4844</v>
      </c>
      <c r="I110" s="158">
        <v>4854</v>
      </c>
      <c r="J110" s="158">
        <v>5091</v>
      </c>
      <c r="K110" s="158">
        <v>4866</v>
      </c>
      <c r="L110" s="158">
        <v>4849</v>
      </c>
    </row>
    <row r="111" spans="2:12" ht="15.75" customHeight="1" x14ac:dyDescent="0.2">
      <c r="B111" s="65" t="s">
        <v>352</v>
      </c>
      <c r="C111" s="158">
        <v>2556</v>
      </c>
      <c r="D111" s="158">
        <v>4194</v>
      </c>
      <c r="E111" s="158">
        <v>7521</v>
      </c>
      <c r="F111" s="158">
        <v>3314</v>
      </c>
      <c r="G111" s="158">
        <v>3672</v>
      </c>
      <c r="H111" s="158">
        <v>4395</v>
      </c>
      <c r="I111" s="158">
        <v>5695</v>
      </c>
      <c r="J111" s="158">
        <v>7704</v>
      </c>
      <c r="K111" s="158">
        <v>9459</v>
      </c>
      <c r="L111" s="158">
        <v>11104</v>
      </c>
    </row>
    <row r="112" spans="2:12" ht="15.75" customHeight="1" x14ac:dyDescent="0.2">
      <c r="B112" s="63" t="s">
        <v>360</v>
      </c>
      <c r="C112" s="164">
        <v>82584</v>
      </c>
      <c r="D112" s="164">
        <v>90782</v>
      </c>
      <c r="E112" s="164">
        <v>97309</v>
      </c>
      <c r="F112" s="164">
        <v>110283</v>
      </c>
      <c r="G112" s="164">
        <v>120302</v>
      </c>
      <c r="H112" s="164">
        <v>131624</v>
      </c>
      <c r="I112" s="164">
        <v>145445</v>
      </c>
      <c r="J112" s="164">
        <v>162128</v>
      </c>
      <c r="K112" s="164">
        <v>178193</v>
      </c>
      <c r="L112" s="164">
        <v>199137</v>
      </c>
    </row>
    <row r="113" spans="2:12" ht="15.75" customHeight="1" x14ac:dyDescent="0.2">
      <c r="B113" s="53" t="s">
        <v>361</v>
      </c>
      <c r="C113" s="156">
        <v>89993</v>
      </c>
      <c r="D113" s="156">
        <v>97963</v>
      </c>
      <c r="E113" s="156">
        <v>103702</v>
      </c>
      <c r="F113" s="156">
        <v>117691</v>
      </c>
      <c r="G113" s="156">
        <v>127684</v>
      </c>
      <c r="H113" s="156">
        <v>140912</v>
      </c>
      <c r="I113" s="156">
        <v>158935</v>
      </c>
      <c r="J113" s="156">
        <v>177489</v>
      </c>
      <c r="K113" s="156">
        <v>190144</v>
      </c>
      <c r="L113" s="156">
        <v>212721</v>
      </c>
    </row>
    <row r="115" spans="2:12" ht="15.75" customHeight="1" x14ac:dyDescent="0.2">
      <c r="B115" s="157" t="s">
        <v>362</v>
      </c>
    </row>
    <row r="116" spans="2:12" ht="15.75" customHeight="1" x14ac:dyDescent="0.2">
      <c r="B116" s="65" t="s">
        <v>363</v>
      </c>
      <c r="C116" s="158">
        <v>268</v>
      </c>
      <c r="D116" s="158">
        <v>1687</v>
      </c>
      <c r="E116" s="158">
        <v>2749</v>
      </c>
      <c r="F116" s="158">
        <v>2516</v>
      </c>
      <c r="G116" s="158">
        <v>1551</v>
      </c>
      <c r="H116" s="158">
        <v>1382</v>
      </c>
      <c r="I116" s="158">
        <v>1709</v>
      </c>
      <c r="J116" s="158">
        <v>4650</v>
      </c>
      <c r="K116" s="158">
        <v>1670</v>
      </c>
      <c r="L116" s="158">
        <v>1955</v>
      </c>
    </row>
    <row r="117" spans="2:12" ht="15.75" customHeight="1" x14ac:dyDescent="0.2">
      <c r="B117" s="65" t="s">
        <v>364</v>
      </c>
      <c r="C117" s="158">
        <v>150</v>
      </c>
      <c r="D117" s="158">
        <v>255</v>
      </c>
      <c r="E117" s="158">
        <v>5465</v>
      </c>
      <c r="F117" s="158">
        <v>400</v>
      </c>
      <c r="G117" s="158">
        <v>458</v>
      </c>
      <c r="H117" s="158">
        <v>700</v>
      </c>
      <c r="I117" s="158">
        <v>1368</v>
      </c>
      <c r="J117" s="158">
        <v>255</v>
      </c>
      <c r="K117" s="158">
        <v>217</v>
      </c>
      <c r="L117" s="158">
        <v>608</v>
      </c>
    </row>
    <row r="118" spans="2:12" ht="15.75" customHeight="1" x14ac:dyDescent="0.2">
      <c r="B118" s="65" t="s">
        <v>365</v>
      </c>
      <c r="C118" s="158">
        <v>2604</v>
      </c>
      <c r="D118" s="158">
        <v>1673</v>
      </c>
      <c r="E118" s="158">
        <v>2716</v>
      </c>
      <c r="F118" s="158">
        <v>2124</v>
      </c>
      <c r="G118" s="158">
        <v>4138</v>
      </c>
      <c r="H118" s="158">
        <v>1785</v>
      </c>
      <c r="I118" s="158">
        <v>6633</v>
      </c>
      <c r="J118" s="158">
        <v>6901</v>
      </c>
      <c r="K118" s="158">
        <v>8061</v>
      </c>
      <c r="L118" s="158">
        <v>3500</v>
      </c>
    </row>
    <row r="119" spans="2:12" ht="15.75" customHeight="1" x14ac:dyDescent="0.2">
      <c r="B119" s="65" t="s">
        <v>366</v>
      </c>
      <c r="C119" s="158">
        <v>3447</v>
      </c>
      <c r="D119" s="158">
        <v>3235</v>
      </c>
      <c r="E119" s="158">
        <v>2386</v>
      </c>
      <c r="F119" s="158">
        <v>3631</v>
      </c>
      <c r="G119" s="158">
        <v>4615</v>
      </c>
      <c r="H119" s="158">
        <v>6935</v>
      </c>
      <c r="I119" s="158">
        <v>8312</v>
      </c>
      <c r="J119" s="158">
        <v>8504</v>
      </c>
      <c r="K119" s="158">
        <v>6982</v>
      </c>
      <c r="L119" s="158">
        <v>7583</v>
      </c>
    </row>
    <row r="120" spans="2:12" ht="15.75" customHeight="1" x14ac:dyDescent="0.2">
      <c r="B120" s="65" t="s">
        <v>367</v>
      </c>
      <c r="C120" s="158">
        <v>470</v>
      </c>
      <c r="D120" s="158">
        <v>448</v>
      </c>
      <c r="E120" s="158">
        <v>445</v>
      </c>
      <c r="F120" s="158">
        <v>499</v>
      </c>
      <c r="G120" s="158">
        <v>474</v>
      </c>
      <c r="H120" s="158">
        <v>485</v>
      </c>
      <c r="I120" s="158">
        <v>560</v>
      </c>
      <c r="J120" s="158">
        <v>638</v>
      </c>
      <c r="K120" s="158">
        <v>694</v>
      </c>
      <c r="L120" s="158">
        <v>709</v>
      </c>
    </row>
    <row r="121" spans="2:12" ht="15.75" customHeight="1" x14ac:dyDescent="0.2">
      <c r="B121" s="65" t="s">
        <v>368</v>
      </c>
      <c r="C121" s="158">
        <v>480</v>
      </c>
      <c r="D121" s="158">
        <v>621</v>
      </c>
      <c r="E121" s="158">
        <v>477</v>
      </c>
      <c r="F121" s="158">
        <v>558</v>
      </c>
      <c r="G121" s="158">
        <v>519</v>
      </c>
      <c r="H121" s="158">
        <v>525</v>
      </c>
      <c r="I121" s="158">
        <v>719</v>
      </c>
      <c r="J121" s="158">
        <v>970</v>
      </c>
      <c r="K121" s="158">
        <v>1016</v>
      </c>
      <c r="L121" s="158">
        <v>1185</v>
      </c>
    </row>
    <row r="122" spans="2:12" ht="15.75" customHeight="1" x14ac:dyDescent="0.2">
      <c r="B122" s="65" t="s">
        <v>350</v>
      </c>
      <c r="C122" s="158">
        <v>404</v>
      </c>
      <c r="D122" s="158">
        <v>364</v>
      </c>
      <c r="E122" s="158">
        <v>675</v>
      </c>
      <c r="F122" s="158">
        <v>344</v>
      </c>
      <c r="G122" s="158">
        <v>311</v>
      </c>
      <c r="H122" s="158">
        <v>1263</v>
      </c>
      <c r="I122" s="158">
        <v>2102</v>
      </c>
      <c r="J122" s="158">
        <v>845</v>
      </c>
      <c r="K122" s="158">
        <v>1073</v>
      </c>
      <c r="L122" s="158">
        <v>1113</v>
      </c>
    </row>
    <row r="123" spans="2:12" ht="15.75" customHeight="1" x14ac:dyDescent="0.2">
      <c r="B123" s="65" t="s">
        <v>369</v>
      </c>
      <c r="C123" s="158">
        <v>1120</v>
      </c>
      <c r="D123" s="158">
        <v>1033</v>
      </c>
      <c r="E123" s="158">
        <v>1195</v>
      </c>
      <c r="F123" s="158">
        <v>1152</v>
      </c>
      <c r="G123" s="158">
        <v>991</v>
      </c>
      <c r="H123" s="158">
        <v>1378</v>
      </c>
      <c r="I123" s="158">
        <v>1760</v>
      </c>
      <c r="J123" s="158">
        <v>1861</v>
      </c>
      <c r="K123" s="158">
        <v>2346</v>
      </c>
      <c r="L123" s="158">
        <v>2966</v>
      </c>
    </row>
    <row r="124" spans="2:12" ht="15.75" customHeight="1" x14ac:dyDescent="0.2">
      <c r="B124" s="65" t="s">
        <v>370</v>
      </c>
      <c r="C124" s="158">
        <v>299</v>
      </c>
      <c r="D124" s="158">
        <v>346</v>
      </c>
      <c r="E124" s="158">
        <v>325</v>
      </c>
      <c r="F124" s="158">
        <v>320</v>
      </c>
      <c r="G124" s="158">
        <v>245</v>
      </c>
      <c r="H124" s="158">
        <v>289</v>
      </c>
      <c r="I124" s="158">
        <v>350</v>
      </c>
      <c r="J124" s="158">
        <v>340</v>
      </c>
      <c r="K124" s="158">
        <v>279</v>
      </c>
      <c r="L124" s="158">
        <v>356</v>
      </c>
    </row>
    <row r="125" spans="2:12" ht="15.75" customHeight="1" x14ac:dyDescent="0.2">
      <c r="B125" s="65" t="s">
        <v>352</v>
      </c>
      <c r="C125" s="158">
        <v>1677</v>
      </c>
      <c r="D125" s="158">
        <v>1581</v>
      </c>
      <c r="E125" s="158">
        <v>1130</v>
      </c>
      <c r="F125" s="158">
        <v>2309</v>
      </c>
      <c r="G125" s="158">
        <v>2256</v>
      </c>
      <c r="H125" s="158">
        <v>2695</v>
      </c>
      <c r="I125" s="158">
        <v>3182</v>
      </c>
      <c r="J125" s="158">
        <v>2999</v>
      </c>
      <c r="K125" s="158">
        <v>3017</v>
      </c>
      <c r="L125" s="158">
        <v>2842</v>
      </c>
    </row>
    <row r="126" spans="2:12" ht="15.75" customHeight="1" x14ac:dyDescent="0.2">
      <c r="B126" s="159" t="s">
        <v>371</v>
      </c>
      <c r="C126" s="160">
        <v>10919</v>
      </c>
      <c r="D126" s="160">
        <v>11243</v>
      </c>
      <c r="E126" s="160">
        <v>17563</v>
      </c>
      <c r="F126" s="160">
        <v>13853</v>
      </c>
      <c r="G126" s="160">
        <v>15558</v>
      </c>
      <c r="H126" s="160">
        <v>17437</v>
      </c>
      <c r="I126" s="160">
        <v>26695</v>
      </c>
      <c r="J126" s="160">
        <v>27963</v>
      </c>
      <c r="K126" s="160">
        <v>25355</v>
      </c>
      <c r="L126" s="160">
        <v>22817</v>
      </c>
    </row>
    <row r="127" spans="2:12" ht="15.75" customHeight="1" x14ac:dyDescent="0.2">
      <c r="B127" s="157" t="s">
        <v>372</v>
      </c>
    </row>
    <row r="128" spans="2:12" ht="15.75" customHeight="1" x14ac:dyDescent="0.2">
      <c r="B128" s="65" t="s">
        <v>373</v>
      </c>
      <c r="C128" s="158">
        <v>27818</v>
      </c>
      <c r="D128" s="158">
        <v>31410</v>
      </c>
      <c r="E128" s="158">
        <v>26782</v>
      </c>
      <c r="F128" s="158">
        <v>37543</v>
      </c>
      <c r="G128" s="158">
        <v>41944</v>
      </c>
      <c r="H128" s="158">
        <v>50960</v>
      </c>
      <c r="I128" s="158">
        <v>55256</v>
      </c>
      <c r="J128" s="158">
        <v>61405</v>
      </c>
      <c r="K128" s="158">
        <v>72385</v>
      </c>
      <c r="L128" s="158">
        <v>89556</v>
      </c>
    </row>
    <row r="129" spans="2:12" ht="15.75" customHeight="1" x14ac:dyDescent="0.2">
      <c r="B129" s="65" t="s">
        <v>374</v>
      </c>
      <c r="C129" s="158">
        <v>2736</v>
      </c>
      <c r="D129" s="158">
        <v>3031</v>
      </c>
      <c r="E129" s="158">
        <v>3135</v>
      </c>
      <c r="F129" s="158">
        <v>3457</v>
      </c>
      <c r="G129" s="158">
        <v>3057</v>
      </c>
      <c r="H129" s="158">
        <v>3082</v>
      </c>
      <c r="I129" s="158">
        <v>3245</v>
      </c>
      <c r="J129" s="158">
        <v>3403</v>
      </c>
      <c r="K129" s="158">
        <v>3671</v>
      </c>
      <c r="L129" s="158">
        <v>3669</v>
      </c>
    </row>
    <row r="130" spans="2:12" ht="15.75" customHeight="1" x14ac:dyDescent="0.2">
      <c r="B130" s="65" t="s">
        <v>304</v>
      </c>
      <c r="C130" s="158">
        <v>11101</v>
      </c>
      <c r="D130" s="158">
        <v>5764</v>
      </c>
      <c r="E130" s="158">
        <v>7367</v>
      </c>
      <c r="F130" s="158">
        <v>8361</v>
      </c>
      <c r="G130" s="158">
        <v>8020</v>
      </c>
      <c r="H130" s="158">
        <v>8310</v>
      </c>
      <c r="I130" s="158">
        <v>9072</v>
      </c>
      <c r="J130" s="158">
        <v>10142</v>
      </c>
      <c r="K130" s="158">
        <v>11749</v>
      </c>
      <c r="L130" s="158">
        <v>12359</v>
      </c>
    </row>
    <row r="131" spans="2:12" ht="15.75" customHeight="1" x14ac:dyDescent="0.2">
      <c r="B131" s="65" t="s">
        <v>370</v>
      </c>
      <c r="C131" s="158">
        <v>4906</v>
      </c>
      <c r="D131" s="158">
        <v>8765</v>
      </c>
      <c r="E131" s="158">
        <v>9009</v>
      </c>
      <c r="F131" s="158">
        <v>9936</v>
      </c>
      <c r="G131" s="158">
        <v>10735</v>
      </c>
      <c r="H131" s="158">
        <v>11273</v>
      </c>
      <c r="I131" s="158">
        <v>9626</v>
      </c>
      <c r="J131" s="158">
        <v>10049</v>
      </c>
      <c r="K131" s="158">
        <v>10635</v>
      </c>
      <c r="L131" s="158">
        <v>11474</v>
      </c>
    </row>
    <row r="132" spans="2:12" ht="15.75" customHeight="1" x14ac:dyDescent="0.2">
      <c r="B132" s="65" t="s">
        <v>350</v>
      </c>
      <c r="C132" s="158">
        <v>477</v>
      </c>
      <c r="D132" s="158">
        <v>535</v>
      </c>
      <c r="E132" s="158">
        <v>516</v>
      </c>
      <c r="F132" s="158">
        <v>863</v>
      </c>
      <c r="G132" s="158">
        <v>1199</v>
      </c>
      <c r="H132" s="158">
        <v>1713</v>
      </c>
      <c r="I132" s="158">
        <v>2909</v>
      </c>
      <c r="J132" s="158">
        <v>2741</v>
      </c>
      <c r="K132" s="158">
        <v>2008</v>
      </c>
      <c r="L132" s="158">
        <v>2148</v>
      </c>
    </row>
    <row r="133" spans="2:12" ht="15.75" customHeight="1" x14ac:dyDescent="0.2">
      <c r="B133" s="65" t="s">
        <v>352</v>
      </c>
      <c r="C133" s="158">
        <v>6705</v>
      </c>
      <c r="D133" s="158">
        <v>7684</v>
      </c>
      <c r="E133" s="158">
        <v>1449</v>
      </c>
      <c r="F133" s="158">
        <v>1831</v>
      </c>
      <c r="G133" s="158">
        <v>2242</v>
      </c>
      <c r="H133" s="158">
        <v>2468</v>
      </c>
      <c r="I133" s="158">
        <v>2696</v>
      </c>
      <c r="J133" s="158">
        <v>2762</v>
      </c>
      <c r="K133" s="158">
        <v>3480</v>
      </c>
      <c r="L133" s="158">
        <v>4219</v>
      </c>
    </row>
    <row r="134" spans="2:12" ht="15.75" customHeight="1" x14ac:dyDescent="0.2">
      <c r="B134" s="63" t="s">
        <v>375</v>
      </c>
      <c r="C134" s="164">
        <v>53743</v>
      </c>
      <c r="D134" s="164">
        <v>57189</v>
      </c>
      <c r="E134" s="164">
        <v>48258</v>
      </c>
      <c r="F134" s="164">
        <v>61991</v>
      </c>
      <c r="G134" s="164">
        <v>67197</v>
      </c>
      <c r="H134" s="164">
        <v>77806</v>
      </c>
      <c r="I134" s="164">
        <v>82804</v>
      </c>
      <c r="J134" s="164">
        <v>90502</v>
      </c>
      <c r="K134" s="164">
        <v>103928</v>
      </c>
      <c r="L134" s="164">
        <v>123425</v>
      </c>
    </row>
    <row r="135" spans="2:12" ht="15.75" customHeight="1" x14ac:dyDescent="0.2">
      <c r="B135" s="53" t="s">
        <v>376</v>
      </c>
      <c r="C135" s="156">
        <v>64662</v>
      </c>
      <c r="D135" s="156">
        <v>68432</v>
      </c>
      <c r="E135" s="156">
        <v>65821</v>
      </c>
      <c r="F135" s="156">
        <v>75844</v>
      </c>
      <c r="G135" s="156">
        <v>82755</v>
      </c>
      <c r="H135" s="156">
        <v>95243</v>
      </c>
      <c r="I135" s="156">
        <v>109499</v>
      </c>
      <c r="J135" s="156">
        <v>118465</v>
      </c>
      <c r="K135" s="156">
        <v>129283</v>
      </c>
      <c r="L135" s="156">
        <v>146242</v>
      </c>
    </row>
    <row r="136" spans="2:12" ht="15.75" customHeight="1" x14ac:dyDescent="0.2">
      <c r="B136" s="65" t="s">
        <v>377</v>
      </c>
      <c r="C136" s="158"/>
      <c r="D136" s="158"/>
      <c r="E136" s="158">
        <v>468</v>
      </c>
      <c r="F136" s="158">
        <v>487</v>
      </c>
      <c r="G136" s="158"/>
      <c r="H136" s="158">
        <v>245</v>
      </c>
      <c r="I136" s="158">
        <v>1110</v>
      </c>
      <c r="J136" s="158">
        <v>1256</v>
      </c>
      <c r="K136" s="158">
        <v>401</v>
      </c>
      <c r="L136" s="158"/>
    </row>
    <row r="137" spans="2:12" ht="15.75" customHeight="1" x14ac:dyDescent="0.2">
      <c r="B137" s="157" t="s">
        <v>378</v>
      </c>
    </row>
    <row r="138" spans="2:12" ht="15.75" customHeight="1" x14ac:dyDescent="0.2">
      <c r="B138" s="65" t="s">
        <v>379</v>
      </c>
      <c r="C138" s="158">
        <v>5</v>
      </c>
      <c r="D138" s="158">
        <v>5</v>
      </c>
      <c r="E138" s="158">
        <v>5</v>
      </c>
      <c r="F138" s="158">
        <v>20</v>
      </c>
      <c r="G138" s="158">
        <v>20</v>
      </c>
      <c r="H138" s="158">
        <v>20</v>
      </c>
      <c r="I138" s="158">
        <v>20</v>
      </c>
      <c r="J138" s="158">
        <v>21</v>
      </c>
      <c r="K138" s="158">
        <v>21</v>
      </c>
      <c r="L138" s="158">
        <v>21</v>
      </c>
    </row>
    <row r="139" spans="2:12" ht="15.75" customHeight="1" x14ac:dyDescent="0.2">
      <c r="B139" s="65" t="s">
        <v>380</v>
      </c>
      <c r="C139" s="158">
        <v>8948</v>
      </c>
      <c r="D139" s="158">
        <v>9100</v>
      </c>
      <c r="E139" s="158">
        <v>10490</v>
      </c>
      <c r="F139" s="158">
        <v>11955</v>
      </c>
      <c r="G139" s="158">
        <v>11222</v>
      </c>
      <c r="H139" s="158">
        <v>11271</v>
      </c>
      <c r="I139" s="158">
        <v>12720</v>
      </c>
      <c r="J139" s="158">
        <v>17365</v>
      </c>
      <c r="K139" s="158">
        <v>17260</v>
      </c>
      <c r="L139" s="158">
        <v>19494</v>
      </c>
    </row>
    <row r="140" spans="2:12" ht="15.75" customHeight="1" x14ac:dyDescent="0.2">
      <c r="B140" s="65" t="s">
        <v>381</v>
      </c>
      <c r="C140" s="158">
        <v>15458</v>
      </c>
      <c r="D140" s="158">
        <v>19020</v>
      </c>
      <c r="E140" s="158">
        <v>23837</v>
      </c>
      <c r="F140" s="158">
        <v>25199</v>
      </c>
      <c r="G140" s="158">
        <v>25363</v>
      </c>
      <c r="H140" s="158">
        <v>25911</v>
      </c>
      <c r="I140" s="158">
        <v>26707</v>
      </c>
      <c r="J140" s="158">
        <v>30235</v>
      </c>
      <c r="K140" s="158">
        <v>32946</v>
      </c>
      <c r="L140" s="158">
        <v>35102</v>
      </c>
    </row>
    <row r="141" spans="2:12" ht="15.75" customHeight="1" x14ac:dyDescent="0.2">
      <c r="B141" s="65" t="s">
        <v>382</v>
      </c>
      <c r="C141" s="158">
        <v>-70</v>
      </c>
      <c r="D141" s="158">
        <v>111</v>
      </c>
      <c r="E141" s="158">
        <v>-188</v>
      </c>
      <c r="F141" s="158">
        <v>-169</v>
      </c>
      <c r="G141" s="158">
        <v>-92</v>
      </c>
      <c r="H141" s="158"/>
      <c r="I141" s="158">
        <v>-218</v>
      </c>
      <c r="J141" s="158">
        <v>-153</v>
      </c>
      <c r="K141" s="158">
        <v>-126</v>
      </c>
      <c r="L141" s="158">
        <v>-9</v>
      </c>
    </row>
    <row r="142" spans="2:12" ht="15.75" customHeight="1" x14ac:dyDescent="0.2">
      <c r="B142" s="159" t="s">
        <v>383</v>
      </c>
      <c r="C142" s="160">
        <v>24341</v>
      </c>
      <c r="D142" s="160">
        <v>28236</v>
      </c>
      <c r="E142" s="160">
        <v>34144</v>
      </c>
      <c r="F142" s="160">
        <v>37005</v>
      </c>
      <c r="G142" s="160">
        <v>36513</v>
      </c>
      <c r="H142" s="160">
        <v>37202</v>
      </c>
      <c r="I142" s="160">
        <v>39229</v>
      </c>
      <c r="J142" s="160">
        <v>47468</v>
      </c>
      <c r="K142" s="160">
        <v>50101</v>
      </c>
      <c r="L142" s="160">
        <v>54608</v>
      </c>
    </row>
    <row r="143" spans="2:12" ht="15.75" customHeight="1" x14ac:dyDescent="0.2">
      <c r="B143" s="161" t="s">
        <v>384</v>
      </c>
      <c r="C143" s="162">
        <v>990</v>
      </c>
      <c r="D143" s="162">
        <v>1295</v>
      </c>
      <c r="E143" s="162">
        <v>3269</v>
      </c>
      <c r="F143" s="162">
        <v>4355</v>
      </c>
      <c r="G143" s="162">
        <v>8416</v>
      </c>
      <c r="H143" s="162">
        <v>8222</v>
      </c>
      <c r="I143" s="162">
        <v>9097</v>
      </c>
      <c r="J143" s="162">
        <v>10300</v>
      </c>
      <c r="K143" s="162">
        <v>10359</v>
      </c>
      <c r="L143" s="162">
        <v>11871</v>
      </c>
    </row>
    <row r="144" spans="2:12" ht="15.75" customHeight="1" x14ac:dyDescent="0.2">
      <c r="B144" s="63" t="s">
        <v>385</v>
      </c>
      <c r="C144" s="164">
        <v>25331</v>
      </c>
      <c r="D144" s="164">
        <v>29531</v>
      </c>
      <c r="E144" s="164">
        <v>37413</v>
      </c>
      <c r="F144" s="164">
        <v>41360</v>
      </c>
      <c r="G144" s="164">
        <v>44929</v>
      </c>
      <c r="H144" s="164">
        <v>45424</v>
      </c>
      <c r="I144" s="164">
        <v>48326</v>
      </c>
      <c r="J144" s="164">
        <v>57768</v>
      </c>
      <c r="K144" s="164">
        <v>60460</v>
      </c>
      <c r="L144" s="164">
        <v>66479</v>
      </c>
    </row>
    <row r="145" spans="2:12" ht="15.75" customHeight="1" x14ac:dyDescent="0.2">
      <c r="B145" s="53" t="s">
        <v>386</v>
      </c>
      <c r="C145" s="156">
        <v>89993</v>
      </c>
      <c r="D145" s="156">
        <v>97963</v>
      </c>
      <c r="E145" s="156">
        <v>103702</v>
      </c>
      <c r="F145" s="156">
        <v>117691</v>
      </c>
      <c r="G145" s="156">
        <v>127684</v>
      </c>
      <c r="H145" s="156">
        <v>140912</v>
      </c>
      <c r="I145" s="156">
        <v>158935</v>
      </c>
      <c r="J145" s="156">
        <v>177489</v>
      </c>
      <c r="K145" s="156">
        <v>190144</v>
      </c>
      <c r="L145" s="156">
        <v>212721</v>
      </c>
    </row>
    <row r="148" spans="2:12" ht="15.75" customHeight="1" x14ac:dyDescent="0.2">
      <c r="B148" s="154" t="s">
        <v>387</v>
      </c>
      <c r="C148" s="154"/>
      <c r="D148" s="154"/>
      <c r="E148" s="154"/>
      <c r="F148" s="154"/>
      <c r="G148" s="154"/>
      <c r="H148" s="154"/>
      <c r="I148" s="154"/>
      <c r="J148" s="154"/>
      <c r="K148" s="154"/>
      <c r="L148" s="154"/>
    </row>
    <row r="149" spans="2:12" ht="15.75" customHeight="1" x14ac:dyDescent="0.2">
      <c r="B149" s="65" t="s">
        <v>388</v>
      </c>
      <c r="C149" s="158">
        <v>61386</v>
      </c>
      <c r="D149" s="158">
        <v>66912</v>
      </c>
      <c r="E149" s="158">
        <v>72289</v>
      </c>
      <c r="F149" s="158">
        <v>70334</v>
      </c>
      <c r="G149" s="158">
        <v>82010</v>
      </c>
      <c r="H149" s="158">
        <v>91803</v>
      </c>
      <c r="I149" s="158">
        <v>99348</v>
      </c>
      <c r="J149" s="158">
        <v>111059</v>
      </c>
      <c r="K149" s="158">
        <v>125776</v>
      </c>
      <c r="L149" s="158">
        <v>138852</v>
      </c>
    </row>
    <row r="150" spans="2:12" ht="15.75" customHeight="1" x14ac:dyDescent="0.2">
      <c r="B150" s="65" t="s">
        <v>389</v>
      </c>
      <c r="C150" s="158">
        <v>3776</v>
      </c>
      <c r="D150" s="158">
        <v>5174</v>
      </c>
      <c r="E150" s="158">
        <v>5012</v>
      </c>
      <c r="F150" s="158">
        <v>5560</v>
      </c>
      <c r="G150" s="158">
        <v>6477</v>
      </c>
      <c r="H150" s="158">
        <v>7408</v>
      </c>
      <c r="I150" s="158">
        <v>9067</v>
      </c>
      <c r="J150" s="158">
        <v>9302</v>
      </c>
      <c r="K150" s="158">
        <v>7992</v>
      </c>
      <c r="L150" s="158">
        <v>8719</v>
      </c>
    </row>
    <row r="151" spans="2:12" ht="15.75" customHeight="1" x14ac:dyDescent="0.2">
      <c r="B151" s="65" t="s">
        <v>390</v>
      </c>
      <c r="C151" s="158">
        <v>5396</v>
      </c>
      <c r="D151" s="158">
        <v>5295</v>
      </c>
      <c r="E151" s="158">
        <v>6994</v>
      </c>
      <c r="F151" s="158">
        <v>6385</v>
      </c>
      <c r="G151" s="158">
        <v>6851</v>
      </c>
      <c r="H151" s="158">
        <v>8247</v>
      </c>
      <c r="I151" s="158">
        <v>9541</v>
      </c>
      <c r="J151" s="158">
        <v>15565</v>
      </c>
      <c r="K151" s="158">
        <v>16215</v>
      </c>
      <c r="L151" s="158">
        <v>15332</v>
      </c>
    </row>
    <row r="152" spans="2:12" ht="15.75" customHeight="1" x14ac:dyDescent="0.2">
      <c r="B152" s="65" t="s">
        <v>391</v>
      </c>
      <c r="C152" s="158">
        <v>181</v>
      </c>
      <c r="D152" s="158">
        <v>74</v>
      </c>
      <c r="E152" s="158">
        <v>731</v>
      </c>
      <c r="F152" s="158">
        <v>5202</v>
      </c>
      <c r="G152" s="158">
        <v>1037</v>
      </c>
      <c r="H152" s="158">
        <v>147</v>
      </c>
      <c r="I152" s="158">
        <v>452</v>
      </c>
      <c r="J152" s="158">
        <v>61</v>
      </c>
      <c r="K152" s="158">
        <v>123</v>
      </c>
      <c r="L152" s="158">
        <v>2</v>
      </c>
    </row>
    <row r="153" spans="2:12" ht="15.75" customHeight="1" x14ac:dyDescent="0.2">
      <c r="B153" s="65" t="s">
        <v>392</v>
      </c>
      <c r="C153" s="158">
        <v>283</v>
      </c>
      <c r="D153" s="158">
        <v>197</v>
      </c>
      <c r="E153" s="158">
        <v>267</v>
      </c>
      <c r="F153" s="158">
        <v>315</v>
      </c>
      <c r="G153" s="158">
        <v>245</v>
      </c>
      <c r="H153" s="158">
        <v>275</v>
      </c>
      <c r="I153" s="158">
        <v>223</v>
      </c>
      <c r="J153" s="158">
        <v>185</v>
      </c>
      <c r="K153" s="158">
        <v>399</v>
      </c>
      <c r="L153" s="158">
        <v>553</v>
      </c>
    </row>
    <row r="154" spans="2:12" ht="15.75" customHeight="1" x14ac:dyDescent="0.2">
      <c r="B154" s="159" t="s">
        <v>393</v>
      </c>
      <c r="C154" s="160">
        <v>9636</v>
      </c>
      <c r="D154" s="160">
        <v>10740</v>
      </c>
      <c r="E154" s="160">
        <v>13004</v>
      </c>
      <c r="F154" s="160">
        <v>17462</v>
      </c>
      <c r="G154" s="160">
        <v>14610</v>
      </c>
      <c r="H154" s="160">
        <v>16077</v>
      </c>
      <c r="I154" s="160">
        <v>19283</v>
      </c>
      <c r="J154" s="160">
        <v>25113</v>
      </c>
      <c r="K154" s="160">
        <v>24729</v>
      </c>
      <c r="L154" s="160">
        <v>24606</v>
      </c>
    </row>
    <row r="155" spans="2:12" ht="15.75" customHeight="1" x14ac:dyDescent="0.2">
      <c r="B155" s="65" t="s">
        <v>394</v>
      </c>
      <c r="C155" s="158">
        <v>-3120</v>
      </c>
      <c r="D155" s="158">
        <v>-2357</v>
      </c>
      <c r="E155" s="158">
        <v>-3911</v>
      </c>
      <c r="F155" s="158">
        <v>-4216</v>
      </c>
      <c r="G155" s="158">
        <v>-4052</v>
      </c>
      <c r="H155" s="158">
        <v>-3924</v>
      </c>
      <c r="I155" s="158">
        <v>-4503</v>
      </c>
      <c r="J155" s="158">
        <v>-5879</v>
      </c>
      <c r="K155" s="158">
        <v>-5462</v>
      </c>
      <c r="L155" s="158">
        <v>-6580</v>
      </c>
    </row>
    <row r="156" spans="2:12" ht="15.75" customHeight="1" x14ac:dyDescent="0.2">
      <c r="B156" s="65" t="s">
        <v>395</v>
      </c>
      <c r="C156" s="158">
        <v>-308</v>
      </c>
      <c r="D156" s="158">
        <v>-281</v>
      </c>
      <c r="E156" s="158">
        <v>-236</v>
      </c>
      <c r="F156" s="158">
        <v>-262</v>
      </c>
      <c r="G156" s="158">
        <v>-263</v>
      </c>
      <c r="H156" s="158">
        <v>-290</v>
      </c>
      <c r="I156" s="158">
        <v>-287</v>
      </c>
      <c r="J156" s="158">
        <v>-272</v>
      </c>
      <c r="K156" s="158">
        <v>-299</v>
      </c>
      <c r="L156" s="158">
        <v>-361</v>
      </c>
    </row>
    <row r="157" spans="2:12" ht="15.75" customHeight="1" x14ac:dyDescent="0.2">
      <c r="B157" s="161" t="s">
        <v>396</v>
      </c>
      <c r="C157" s="162">
        <v>-682</v>
      </c>
      <c r="D157" s="162">
        <v>-2725</v>
      </c>
      <c r="E157" s="162">
        <v>-10812</v>
      </c>
      <c r="F157" s="162">
        <v>-1308</v>
      </c>
      <c r="G157" s="162">
        <v>-502</v>
      </c>
      <c r="H157" s="162">
        <v>-4318</v>
      </c>
      <c r="I157" s="162">
        <v>-2782</v>
      </c>
      <c r="J157" s="162">
        <v>-4245</v>
      </c>
      <c r="K157" s="162">
        <v>-5892</v>
      </c>
      <c r="L157" s="162">
        <v>-320</v>
      </c>
    </row>
    <row r="158" spans="2:12" ht="15.75" customHeight="1" x14ac:dyDescent="0.2">
      <c r="B158" s="53" t="s">
        <v>397</v>
      </c>
      <c r="C158" s="156">
        <v>66912</v>
      </c>
      <c r="D158" s="156">
        <v>72289</v>
      </c>
      <c r="E158" s="156">
        <v>70334</v>
      </c>
      <c r="F158" s="156">
        <v>82010</v>
      </c>
      <c r="G158" s="156">
        <v>91803</v>
      </c>
      <c r="H158" s="156">
        <v>99348</v>
      </c>
      <c r="I158" s="156">
        <v>111059</v>
      </c>
      <c r="J158" s="156">
        <v>125776</v>
      </c>
      <c r="K158" s="156">
        <v>138852</v>
      </c>
      <c r="L158" s="156">
        <v>156197</v>
      </c>
    </row>
    <row r="159" spans="2:12" ht="15.75" customHeight="1" x14ac:dyDescent="0.2">
      <c r="B159" s="157" t="s">
        <v>398</v>
      </c>
      <c r="C159" s="166">
        <v>5.0799999999999998E-2</v>
      </c>
      <c r="D159" s="166">
        <v>3.5200000000000002E-2</v>
      </c>
      <c r="E159" s="166">
        <v>5.4100000000000002E-2</v>
      </c>
      <c r="F159" s="166">
        <v>5.9900000000000002E-2</v>
      </c>
      <c r="G159" s="166">
        <v>4.9399999999999999E-2</v>
      </c>
      <c r="H159" s="166">
        <v>4.2743701186235702E-2</v>
      </c>
      <c r="I159" s="166">
        <v>4.53E-2</v>
      </c>
      <c r="J159" s="166">
        <v>5.2900000000000003E-2</v>
      </c>
      <c r="K159" s="166">
        <v>4.3426408853835398E-2</v>
      </c>
      <c r="L159" s="166">
        <v>4.7399999999999998E-2</v>
      </c>
    </row>
    <row r="162" spans="2:12" ht="15.75" customHeight="1" x14ac:dyDescent="0.2">
      <c r="B162" s="154" t="s">
        <v>399</v>
      </c>
      <c r="C162" s="154"/>
      <c r="D162" s="154"/>
      <c r="E162" s="154"/>
      <c r="F162" s="154"/>
      <c r="G162" s="154"/>
      <c r="H162" s="154"/>
      <c r="I162" s="154"/>
      <c r="J162" s="154"/>
      <c r="K162" s="154"/>
      <c r="L162" s="154"/>
    </row>
    <row r="163" spans="2:12" ht="15.75" customHeight="1" x14ac:dyDescent="0.2">
      <c r="B163" s="157" t="s">
        <v>400</v>
      </c>
    </row>
    <row r="164" spans="2:12" ht="15.75" customHeight="1" x14ac:dyDescent="0.2">
      <c r="B164" s="65" t="s">
        <v>346</v>
      </c>
      <c r="C164" s="158">
        <v>1784</v>
      </c>
      <c r="D164" s="158">
        <v>2220</v>
      </c>
      <c r="E164" s="158">
        <v>2302</v>
      </c>
      <c r="F164" s="158">
        <v>2282</v>
      </c>
      <c r="G164" s="158">
        <v>2263</v>
      </c>
      <c r="H164" s="158">
        <v>3378</v>
      </c>
      <c r="I164" s="158">
        <v>4349</v>
      </c>
      <c r="J164" s="158">
        <v>3609</v>
      </c>
      <c r="K164" s="158">
        <v>3336</v>
      </c>
      <c r="L164" s="158">
        <v>4018</v>
      </c>
    </row>
    <row r="165" spans="2:12" ht="15.75" customHeight="1" x14ac:dyDescent="0.2">
      <c r="B165" s="65" t="s">
        <v>347</v>
      </c>
      <c r="C165" s="158">
        <v>655</v>
      </c>
      <c r="D165" s="158">
        <v>517</v>
      </c>
      <c r="E165" s="158">
        <v>667</v>
      </c>
      <c r="F165" s="158">
        <v>525</v>
      </c>
      <c r="G165" s="158">
        <v>711</v>
      </c>
      <c r="H165" s="158">
        <v>730</v>
      </c>
      <c r="I165" s="158">
        <v>744</v>
      </c>
      <c r="J165" s="158">
        <v>944</v>
      </c>
      <c r="K165" s="158">
        <v>1180</v>
      </c>
      <c r="L165" s="158">
        <v>1733</v>
      </c>
    </row>
    <row r="166" spans="2:12" ht="15.75" customHeight="1" x14ac:dyDescent="0.2">
      <c r="B166" s="65" t="s">
        <v>348</v>
      </c>
      <c r="C166" s="158">
        <v>1289</v>
      </c>
      <c r="D166" s="158">
        <v>1273</v>
      </c>
      <c r="E166" s="158">
        <v>1223</v>
      </c>
      <c r="F166" s="158">
        <v>1328</v>
      </c>
      <c r="G166" s="158">
        <v>1552</v>
      </c>
      <c r="H166" s="158">
        <v>1561</v>
      </c>
      <c r="I166" s="158">
        <v>1934</v>
      </c>
      <c r="J166" s="158">
        <v>2106</v>
      </c>
      <c r="K166" s="158">
        <v>2214</v>
      </c>
      <c r="L166" s="158">
        <v>2420</v>
      </c>
    </row>
    <row r="167" spans="2:12" ht="15.75" customHeight="1" x14ac:dyDescent="0.2">
      <c r="B167" s="159" t="s">
        <v>401</v>
      </c>
      <c r="C167" s="160">
        <v>3728</v>
      </c>
      <c r="D167" s="160">
        <v>4010</v>
      </c>
      <c r="E167" s="160">
        <v>4192</v>
      </c>
      <c r="F167" s="160">
        <v>4135</v>
      </c>
      <c r="G167" s="160">
        <v>4526</v>
      </c>
      <c r="H167" s="160">
        <v>5669</v>
      </c>
      <c r="I167" s="160">
        <v>7027</v>
      </c>
      <c r="J167" s="160">
        <v>6659</v>
      </c>
      <c r="K167" s="160">
        <v>6730</v>
      </c>
      <c r="L167" s="160">
        <v>8171</v>
      </c>
    </row>
    <row r="168" spans="2:12" ht="15.75" customHeight="1" x14ac:dyDescent="0.2">
      <c r="B168" s="157" t="s">
        <v>402</v>
      </c>
    </row>
    <row r="169" spans="2:12" ht="15.75" customHeight="1" x14ac:dyDescent="0.2">
      <c r="B169" s="65" t="s">
        <v>366</v>
      </c>
      <c r="C169" s="158">
        <v>3447</v>
      </c>
      <c r="D169" s="158">
        <v>3235</v>
      </c>
      <c r="E169" s="158">
        <v>2386</v>
      </c>
      <c r="F169" s="158">
        <v>3631</v>
      </c>
      <c r="G169" s="158">
        <v>4615</v>
      </c>
      <c r="H169" s="158">
        <v>6935</v>
      </c>
      <c r="I169" s="158">
        <v>8312</v>
      </c>
      <c r="J169" s="158">
        <v>8504</v>
      </c>
      <c r="K169" s="158">
        <v>6982</v>
      </c>
      <c r="L169" s="158">
        <v>7583</v>
      </c>
    </row>
    <row r="170" spans="2:12" ht="15.75" customHeight="1" x14ac:dyDescent="0.2">
      <c r="B170" s="65" t="s">
        <v>367</v>
      </c>
      <c r="C170" s="158">
        <v>470</v>
      </c>
      <c r="D170" s="158">
        <v>448</v>
      </c>
      <c r="E170" s="158">
        <v>445</v>
      </c>
      <c r="F170" s="158">
        <v>499</v>
      </c>
      <c r="G170" s="158">
        <v>474</v>
      </c>
      <c r="H170" s="158">
        <v>485</v>
      </c>
      <c r="I170" s="158">
        <v>560</v>
      </c>
      <c r="J170" s="158">
        <v>638</v>
      </c>
      <c r="K170" s="158">
        <v>694</v>
      </c>
      <c r="L170" s="158">
        <v>709</v>
      </c>
    </row>
    <row r="171" spans="2:12" ht="15.75" customHeight="1" x14ac:dyDescent="0.2">
      <c r="B171" s="161" t="s">
        <v>368</v>
      </c>
      <c r="C171" s="162">
        <v>480</v>
      </c>
      <c r="D171" s="162">
        <v>621</v>
      </c>
      <c r="E171" s="162">
        <v>477</v>
      </c>
      <c r="F171" s="162">
        <v>558</v>
      </c>
      <c r="G171" s="162">
        <v>519</v>
      </c>
      <c r="H171" s="162">
        <v>525</v>
      </c>
      <c r="I171" s="162">
        <v>719</v>
      </c>
      <c r="J171" s="162">
        <v>970</v>
      </c>
      <c r="K171" s="162">
        <v>1016</v>
      </c>
      <c r="L171" s="162">
        <v>1185</v>
      </c>
    </row>
    <row r="172" spans="2:12" ht="15.75" customHeight="1" x14ac:dyDescent="0.2">
      <c r="B172" s="63" t="s">
        <v>403</v>
      </c>
      <c r="C172" s="164">
        <v>4397</v>
      </c>
      <c r="D172" s="164">
        <v>4304</v>
      </c>
      <c r="E172" s="164">
        <v>3308</v>
      </c>
      <c r="F172" s="164">
        <v>4688</v>
      </c>
      <c r="G172" s="164">
        <v>5608</v>
      </c>
      <c r="H172" s="164">
        <v>7945</v>
      </c>
      <c r="I172" s="164">
        <v>9591</v>
      </c>
      <c r="J172" s="164">
        <v>10112</v>
      </c>
      <c r="K172" s="164">
        <v>8692</v>
      </c>
      <c r="L172" s="164">
        <v>9477</v>
      </c>
    </row>
    <row r="173" spans="2:12" ht="15.75" customHeight="1" x14ac:dyDescent="0.2">
      <c r="B173" s="53" t="s">
        <v>404</v>
      </c>
      <c r="C173" s="156">
        <v>-669</v>
      </c>
      <c r="D173" s="156">
        <v>-294</v>
      </c>
      <c r="E173" s="156">
        <v>884</v>
      </c>
      <c r="F173" s="156">
        <v>-553</v>
      </c>
      <c r="G173" s="156">
        <v>-1082</v>
      </c>
      <c r="H173" s="156">
        <v>-2276</v>
      </c>
      <c r="I173" s="156">
        <v>-2564</v>
      </c>
      <c r="J173" s="156">
        <v>-3453</v>
      </c>
      <c r="K173" s="156">
        <v>-1962</v>
      </c>
      <c r="L173" s="156">
        <v>-1306</v>
      </c>
    </row>
    <row r="174" spans="2:12" ht="15.75" customHeight="1" x14ac:dyDescent="0.2">
      <c r="B174" s="65" t="s">
        <v>405</v>
      </c>
      <c r="C174" s="158"/>
      <c r="D174" s="158">
        <v>375</v>
      </c>
      <c r="E174" s="158">
        <v>1178</v>
      </c>
      <c r="F174" s="158">
        <v>-1437</v>
      </c>
      <c r="G174" s="158">
        <v>-529</v>
      </c>
      <c r="H174" s="158">
        <v>-1194</v>
      </c>
      <c r="I174" s="158">
        <v>-288</v>
      </c>
      <c r="J174" s="158">
        <v>-889</v>
      </c>
      <c r="K174" s="158">
        <v>1491</v>
      </c>
      <c r="L174" s="158">
        <v>656</v>
      </c>
    </row>
    <row r="176" spans="2:12" ht="15.75" customHeight="1" x14ac:dyDescent="0.2">
      <c r="B176" s="157" t="s">
        <v>406</v>
      </c>
    </row>
    <row r="177" spans="2:12" ht="15.75" customHeight="1" x14ac:dyDescent="0.2">
      <c r="B177" s="65" t="s">
        <v>407</v>
      </c>
      <c r="C177" s="167">
        <v>40.299999999999997</v>
      </c>
      <c r="D177" s="167">
        <v>47.2</v>
      </c>
      <c r="E177" s="167">
        <v>50.2</v>
      </c>
      <c r="F177" s="167">
        <v>43.4</v>
      </c>
      <c r="G177" s="167">
        <v>45.9</v>
      </c>
      <c r="H177" s="167">
        <v>72.2</v>
      </c>
      <c r="I177" s="167">
        <v>75.8</v>
      </c>
      <c r="J177" s="167">
        <v>46.9</v>
      </c>
      <c r="K177" s="167">
        <v>49.2</v>
      </c>
      <c r="L177" s="167">
        <v>53.5</v>
      </c>
    </row>
    <row r="178" spans="2:12" ht="15.75" customHeight="1" x14ac:dyDescent="0.2">
      <c r="B178" s="65" t="s">
        <v>408</v>
      </c>
      <c r="C178" s="167">
        <v>117.9</v>
      </c>
      <c r="D178" s="167">
        <v>114.1</v>
      </c>
      <c r="E178" s="167">
        <v>119.6</v>
      </c>
      <c r="F178" s="167">
        <v>111.1</v>
      </c>
      <c r="G178" s="167">
        <v>160.1</v>
      </c>
      <c r="H178" s="167">
        <v>125.9</v>
      </c>
      <c r="I178" s="167">
        <v>110.5</v>
      </c>
      <c r="J178" s="167">
        <v>140.9</v>
      </c>
      <c r="K178" s="167">
        <v>160.69999999999999</v>
      </c>
      <c r="L178" s="167">
        <v>178.7</v>
      </c>
    </row>
    <row r="179" spans="2:12" ht="15.75" customHeight="1" x14ac:dyDescent="0.2">
      <c r="B179" s="65" t="s">
        <v>409</v>
      </c>
      <c r="C179" s="167">
        <v>167.3</v>
      </c>
      <c r="D179" s="167">
        <v>156.80000000000001</v>
      </c>
      <c r="E179" s="167">
        <v>123.3</v>
      </c>
      <c r="F179" s="167">
        <v>165.6</v>
      </c>
      <c r="G179" s="167">
        <v>231.1</v>
      </c>
      <c r="H179" s="167">
        <v>296.39999999999998</v>
      </c>
      <c r="I179" s="167">
        <v>280.60000000000002</v>
      </c>
      <c r="J179" s="167">
        <v>306.3</v>
      </c>
      <c r="K179" s="167">
        <v>257.7</v>
      </c>
      <c r="L179" s="167">
        <v>267.5</v>
      </c>
    </row>
    <row r="182" spans="2:12" ht="15.75" customHeight="1" x14ac:dyDescent="0.2">
      <c r="B182" s="154" t="s">
        <v>410</v>
      </c>
      <c r="C182" s="154"/>
      <c r="D182" s="154"/>
      <c r="E182" s="154"/>
      <c r="F182" s="154"/>
      <c r="G182" s="154"/>
      <c r="H182" s="154"/>
      <c r="I182" s="154"/>
      <c r="J182" s="154"/>
      <c r="K182" s="154"/>
      <c r="L182" s="154"/>
    </row>
    <row r="183" spans="2:12" ht="15.75" customHeight="1" x14ac:dyDescent="0.2">
      <c r="B183" s="157" t="s">
        <v>411</v>
      </c>
    </row>
    <row r="184" spans="2:12" ht="15.75" customHeight="1" x14ac:dyDescent="0.2">
      <c r="B184" s="65" t="s">
        <v>363</v>
      </c>
      <c r="C184" s="158">
        <v>268</v>
      </c>
      <c r="D184" s="158">
        <v>1687</v>
      </c>
      <c r="E184" s="158">
        <v>2749</v>
      </c>
      <c r="F184" s="158">
        <v>2516</v>
      </c>
      <c r="G184" s="158">
        <v>1551</v>
      </c>
      <c r="H184" s="158">
        <v>1382</v>
      </c>
      <c r="I184" s="158">
        <v>1709</v>
      </c>
      <c r="J184" s="158">
        <v>4650</v>
      </c>
      <c r="K184" s="158">
        <v>1670</v>
      </c>
      <c r="L184" s="158">
        <v>1955</v>
      </c>
    </row>
    <row r="185" spans="2:12" ht="15.75" customHeight="1" x14ac:dyDescent="0.2">
      <c r="B185" s="65" t="s">
        <v>364</v>
      </c>
      <c r="C185" s="158">
        <v>150</v>
      </c>
      <c r="D185" s="158">
        <v>255</v>
      </c>
      <c r="E185" s="158">
        <v>5465</v>
      </c>
      <c r="F185" s="158">
        <v>400</v>
      </c>
      <c r="G185" s="158">
        <v>458</v>
      </c>
      <c r="H185" s="158">
        <v>700</v>
      </c>
      <c r="I185" s="158">
        <v>1368</v>
      </c>
      <c r="J185" s="158">
        <v>255</v>
      </c>
      <c r="K185" s="158">
        <v>217</v>
      </c>
      <c r="L185" s="158">
        <v>608</v>
      </c>
    </row>
    <row r="186" spans="2:12" ht="15.75" customHeight="1" x14ac:dyDescent="0.2">
      <c r="B186" s="65" t="s">
        <v>365</v>
      </c>
      <c r="C186" s="158">
        <v>2604</v>
      </c>
      <c r="D186" s="158">
        <v>1673</v>
      </c>
      <c r="E186" s="158">
        <v>2716</v>
      </c>
      <c r="F186" s="158">
        <v>2124</v>
      </c>
      <c r="G186" s="158">
        <v>4138</v>
      </c>
      <c r="H186" s="158">
        <v>1785</v>
      </c>
      <c r="I186" s="158">
        <v>6633</v>
      </c>
      <c r="J186" s="158">
        <v>6901</v>
      </c>
      <c r="K186" s="158">
        <v>8061</v>
      </c>
      <c r="L186" s="158">
        <v>3500</v>
      </c>
    </row>
    <row r="187" spans="2:12" ht="15.75" customHeight="1" x14ac:dyDescent="0.2">
      <c r="B187" s="65" t="s">
        <v>412</v>
      </c>
      <c r="C187" s="158">
        <v>27818</v>
      </c>
      <c r="D187" s="158">
        <v>31410</v>
      </c>
      <c r="E187" s="158">
        <v>26782</v>
      </c>
      <c r="F187" s="158">
        <v>37543</v>
      </c>
      <c r="G187" s="158">
        <v>41944</v>
      </c>
      <c r="H187" s="158">
        <v>50960</v>
      </c>
      <c r="I187" s="158">
        <v>55256</v>
      </c>
      <c r="J187" s="158">
        <v>61405</v>
      </c>
      <c r="K187" s="158">
        <v>72385</v>
      </c>
      <c r="L187" s="158">
        <v>89556</v>
      </c>
    </row>
    <row r="188" spans="2:12" ht="15.75" customHeight="1" x14ac:dyDescent="0.2">
      <c r="B188" s="159" t="s">
        <v>413</v>
      </c>
      <c r="C188" s="160">
        <v>30840</v>
      </c>
      <c r="D188" s="160">
        <v>35025</v>
      </c>
      <c r="E188" s="160">
        <v>37712</v>
      </c>
      <c r="F188" s="160">
        <v>42583</v>
      </c>
      <c r="G188" s="160">
        <v>48091</v>
      </c>
      <c r="H188" s="160">
        <v>54827</v>
      </c>
      <c r="I188" s="160">
        <v>64966</v>
      </c>
      <c r="J188" s="160">
        <v>73211</v>
      </c>
      <c r="K188" s="160">
        <v>82333</v>
      </c>
      <c r="L188" s="160">
        <v>95619</v>
      </c>
    </row>
    <row r="189" spans="2:12" ht="15.75" customHeight="1" x14ac:dyDescent="0.2">
      <c r="B189" s="65" t="s">
        <v>414</v>
      </c>
      <c r="C189" s="158">
        <v>29687</v>
      </c>
      <c r="D189" s="158">
        <v>30840</v>
      </c>
      <c r="E189" s="158">
        <v>35025</v>
      </c>
      <c r="F189" s="158">
        <v>37712</v>
      </c>
      <c r="G189" s="158">
        <v>42583</v>
      </c>
      <c r="H189" s="158">
        <v>48091</v>
      </c>
      <c r="I189" s="158">
        <v>54827</v>
      </c>
      <c r="J189" s="158">
        <v>64966</v>
      </c>
      <c r="K189" s="158">
        <v>73211</v>
      </c>
      <c r="L189" s="158">
        <v>82333</v>
      </c>
    </row>
    <row r="191" spans="2:12" ht="15.75" customHeight="1" x14ac:dyDescent="0.2">
      <c r="B191" s="157" t="s">
        <v>415</v>
      </c>
    </row>
    <row r="192" spans="2:12" ht="15.75" customHeight="1" x14ac:dyDescent="0.2">
      <c r="B192" s="65" t="s">
        <v>326</v>
      </c>
      <c r="C192" s="158">
        <v>5657</v>
      </c>
      <c r="D192" s="158">
        <v>8354</v>
      </c>
      <c r="E192" s="158">
        <v>4399</v>
      </c>
      <c r="F192" s="158">
        <v>13905</v>
      </c>
      <c r="G192" s="158">
        <v>12404</v>
      </c>
      <c r="H192" s="158">
        <v>16683</v>
      </c>
      <c r="I192" s="158">
        <v>13856</v>
      </c>
      <c r="J192" s="158">
        <v>13857</v>
      </c>
      <c r="K192" s="158">
        <v>24769</v>
      </c>
      <c r="L192" s="158">
        <v>23394</v>
      </c>
    </row>
    <row r="193" spans="2:12" ht="15.75" customHeight="1" x14ac:dyDescent="0.2">
      <c r="B193" s="65" t="s">
        <v>327</v>
      </c>
      <c r="C193" s="158">
        <v>-3310</v>
      </c>
      <c r="D193" s="158">
        <v>-6780</v>
      </c>
      <c r="E193" s="158">
        <v>-3102</v>
      </c>
      <c r="F193" s="158">
        <v>-5492</v>
      </c>
      <c r="G193" s="158">
        <v>-6103</v>
      </c>
      <c r="H193" s="158">
        <v>-9594</v>
      </c>
      <c r="I193" s="158">
        <v>-4525</v>
      </c>
      <c r="J193" s="158">
        <v>-7978</v>
      </c>
      <c r="K193" s="158">
        <v>-10113</v>
      </c>
      <c r="L193" s="158">
        <v>-10347</v>
      </c>
    </row>
    <row r="194" spans="2:12" ht="15.75" customHeight="1" x14ac:dyDescent="0.2">
      <c r="B194" s="65" t="s">
        <v>330</v>
      </c>
      <c r="C194" s="158">
        <v>-106</v>
      </c>
      <c r="D194" s="158">
        <v>1419</v>
      </c>
      <c r="E194" s="158">
        <v>1062</v>
      </c>
      <c r="F194" s="158">
        <v>-234</v>
      </c>
      <c r="G194" s="158">
        <v>-965</v>
      </c>
      <c r="H194" s="158">
        <v>-169</v>
      </c>
      <c r="I194" s="158">
        <v>327</v>
      </c>
      <c r="J194" s="158">
        <v>2941</v>
      </c>
      <c r="K194" s="158">
        <v>-2980</v>
      </c>
      <c r="L194" s="158">
        <v>285</v>
      </c>
    </row>
    <row r="195" spans="2:12" ht="15.75" customHeight="1" x14ac:dyDescent="0.2">
      <c r="B195" s="65" t="s">
        <v>331</v>
      </c>
      <c r="C195" s="158">
        <v>500</v>
      </c>
      <c r="D195" s="158">
        <v>450</v>
      </c>
      <c r="E195" s="158">
        <v>5665</v>
      </c>
      <c r="F195" s="158">
        <v>200</v>
      </c>
      <c r="G195" s="158">
        <v>2158</v>
      </c>
      <c r="H195" s="158">
        <v>0</v>
      </c>
      <c r="I195" s="158">
        <v>1755</v>
      </c>
      <c r="J195" s="158">
        <v>1980</v>
      </c>
      <c r="K195" s="158">
        <v>6575</v>
      </c>
      <c r="L195" s="158">
        <v>2558</v>
      </c>
    </row>
    <row r="196" spans="2:12" ht="15.75" customHeight="1" x14ac:dyDescent="0.2">
      <c r="B196" s="65" t="s">
        <v>332</v>
      </c>
      <c r="C196" s="158">
        <v>-662</v>
      </c>
      <c r="D196" s="158">
        <v>-2</v>
      </c>
      <c r="E196" s="158">
        <v>-455</v>
      </c>
      <c r="F196" s="158">
        <v>-4765</v>
      </c>
      <c r="G196" s="158">
        <v>-2100</v>
      </c>
      <c r="H196" s="158">
        <v>-257</v>
      </c>
      <c r="I196" s="158">
        <v>-1125</v>
      </c>
      <c r="J196" s="158">
        <v>-2613</v>
      </c>
      <c r="K196" s="158">
        <v>-6613</v>
      </c>
      <c r="L196" s="158">
        <v>-2167</v>
      </c>
    </row>
    <row r="198" spans="2:12" ht="15.75" customHeight="1" x14ac:dyDescent="0.2">
      <c r="B198" s="157" t="s">
        <v>416</v>
      </c>
    </row>
    <row r="199" spans="2:12" ht="15.75" customHeight="1" x14ac:dyDescent="0.2">
      <c r="B199" s="65" t="s">
        <v>417</v>
      </c>
      <c r="C199" s="158">
        <v>1098</v>
      </c>
      <c r="D199" s="158">
        <v>1558</v>
      </c>
      <c r="E199" s="158">
        <v>1498</v>
      </c>
      <c r="F199" s="158">
        <v>2249</v>
      </c>
      <c r="G199" s="158">
        <v>1950</v>
      </c>
      <c r="H199" s="158">
        <v>1270</v>
      </c>
      <c r="I199" s="158">
        <v>585</v>
      </c>
      <c r="J199" s="158">
        <v>3324</v>
      </c>
      <c r="K199" s="158">
        <v>2235</v>
      </c>
      <c r="L199" s="158">
        <v>4572</v>
      </c>
    </row>
    <row r="200" spans="2:12" ht="15.75" customHeight="1" x14ac:dyDescent="0.2">
      <c r="B200" s="65" t="s">
        <v>418</v>
      </c>
      <c r="C200" s="158">
        <v>1194</v>
      </c>
      <c r="D200" s="158">
        <v>1186</v>
      </c>
      <c r="E200" s="158">
        <v>1209</v>
      </c>
      <c r="F200" s="158">
        <v>1799</v>
      </c>
      <c r="G200" s="158">
        <v>1432</v>
      </c>
      <c r="H200" s="158">
        <v>1323</v>
      </c>
      <c r="I200" s="158">
        <v>1375</v>
      </c>
      <c r="J200" s="158">
        <v>2463</v>
      </c>
      <c r="K200" s="158">
        <v>2737</v>
      </c>
      <c r="L200" s="158">
        <v>3501</v>
      </c>
    </row>
    <row r="201" spans="2:12" ht="15.75" customHeight="1" x14ac:dyDescent="0.2">
      <c r="B201" s="65" t="s">
        <v>419</v>
      </c>
      <c r="C201" s="168">
        <v>3.9453467047763799E-2</v>
      </c>
      <c r="D201" s="168">
        <v>3.6013057010551901E-2</v>
      </c>
      <c r="E201" s="168">
        <v>3.32E-2</v>
      </c>
      <c r="F201" s="168">
        <v>4.48E-2</v>
      </c>
      <c r="G201" s="168">
        <v>3.1600000000000003E-2</v>
      </c>
      <c r="H201" s="168">
        <v>2.57097883752113E-2</v>
      </c>
      <c r="I201" s="168">
        <v>2.3E-2</v>
      </c>
      <c r="J201" s="168">
        <v>3.5700000000000003E-2</v>
      </c>
      <c r="K201" s="168">
        <v>3.5200000000000002E-2</v>
      </c>
      <c r="L201" s="168">
        <v>3.9300000000000002E-2</v>
      </c>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81E5D"/>
  </sheetPr>
  <dimension ref="A1:L64"/>
  <sheetViews>
    <sheetView showGridLines="0" zoomScale="109" zoomScaleNormal="109" workbookViewId="0">
      <pane ySplit="3" topLeftCell="A4" activePane="bottomLeft" state="frozen"/>
      <selection pane="bottomLeft" activeCell="N19" sqref="N19"/>
    </sheetView>
  </sheetViews>
  <sheetFormatPr baseColWidth="10" defaultColWidth="8.85546875" defaultRowHeight="16" x14ac:dyDescent="0.2"/>
  <cols>
    <col min="1" max="1" width="1.7109375" customWidth="1"/>
    <col min="2" max="2" width="40" customWidth="1"/>
    <col min="3" max="3" width="9" customWidth="1"/>
    <col min="4" max="4" width="12" customWidth="1"/>
    <col min="5" max="5" width="9" customWidth="1"/>
    <col min="6" max="6" width="30" customWidth="1"/>
    <col min="7" max="13" width="3" customWidth="1"/>
  </cols>
  <sheetData>
    <row r="1" spans="1:12" ht="9.75" customHeight="1" x14ac:dyDescent="0.2">
      <c r="A1" s="65"/>
      <c r="B1" s="65"/>
      <c r="C1" s="47"/>
      <c r="D1" s="47"/>
      <c r="E1" s="47"/>
      <c r="F1" s="47"/>
      <c r="G1" s="47"/>
      <c r="H1" s="47"/>
      <c r="I1" s="47"/>
      <c r="J1" s="47"/>
      <c r="K1" s="47"/>
      <c r="L1" s="47"/>
    </row>
    <row r="2" spans="1:12" ht="18" customHeight="1" x14ac:dyDescent="0.2">
      <c r="A2" s="65"/>
      <c r="B2" s="1" t="s">
        <v>420</v>
      </c>
      <c r="C2" s="1"/>
      <c r="D2" s="1"/>
      <c r="E2" s="47"/>
      <c r="F2" s="47"/>
      <c r="G2" s="47"/>
      <c r="H2" s="47"/>
      <c r="I2" s="47"/>
      <c r="J2" s="47"/>
      <c r="K2" s="47"/>
      <c r="L2" s="47"/>
    </row>
    <row r="3" spans="1:12" ht="18" customHeight="1" x14ac:dyDescent="0.2">
      <c r="A3" s="65"/>
      <c r="B3" s="209" t="s">
        <v>445</v>
      </c>
      <c r="C3" s="48"/>
      <c r="D3" s="48"/>
      <c r="E3" s="47"/>
      <c r="F3" s="47"/>
      <c r="G3" s="47"/>
      <c r="H3" s="47"/>
      <c r="I3" s="47"/>
      <c r="J3" s="47"/>
      <c r="K3" s="47"/>
      <c r="L3" s="47"/>
    </row>
    <row r="4" spans="1:12" ht="15.75" customHeight="1" x14ac:dyDescent="0.2">
      <c r="A4" s="65"/>
      <c r="B4" s="153"/>
      <c r="C4" s="47"/>
      <c r="D4" s="47"/>
      <c r="E4" s="47"/>
      <c r="F4" s="47"/>
      <c r="G4" s="47"/>
      <c r="H4" s="47"/>
      <c r="I4" s="47"/>
      <c r="J4" s="47"/>
      <c r="K4" s="47"/>
      <c r="L4" s="47"/>
    </row>
    <row r="5" spans="1:12" ht="15.75" customHeight="1" x14ac:dyDescent="0.2">
      <c r="A5" s="65"/>
      <c r="B5" s="169" t="s">
        <v>103</v>
      </c>
      <c r="C5" s="170"/>
      <c r="D5" s="17"/>
      <c r="E5" s="17"/>
      <c r="F5" s="17"/>
      <c r="G5" s="17"/>
      <c r="H5" s="17"/>
      <c r="I5" s="47"/>
      <c r="J5" s="47"/>
      <c r="K5" s="47"/>
    </row>
    <row r="6" spans="1:12" ht="15.75" customHeight="1" x14ac:dyDescent="0.2">
      <c r="A6" s="65"/>
      <c r="B6" s="171" t="s">
        <v>104</v>
      </c>
      <c r="C6" s="172">
        <f>'DDM Model'!D6</f>
        <v>4.6519999999999999E-2</v>
      </c>
      <c r="D6" s="17"/>
      <c r="E6" s="173"/>
      <c r="F6" s="17"/>
      <c r="G6" s="17"/>
      <c r="H6" s="17"/>
      <c r="I6" s="47"/>
      <c r="J6" s="47"/>
      <c r="K6" s="47"/>
    </row>
    <row r="7" spans="1:12" ht="15.75" customHeight="1" x14ac:dyDescent="0.2">
      <c r="A7" s="65"/>
      <c r="B7" s="171" t="s">
        <v>105</v>
      </c>
      <c r="C7" s="172">
        <f>'DDM Model'!D7</f>
        <v>4.4600000000000001E-2</v>
      </c>
      <c r="D7" s="17"/>
      <c r="E7" s="173"/>
      <c r="F7" s="17"/>
      <c r="G7" s="17"/>
      <c r="H7" s="17"/>
      <c r="I7" s="47"/>
      <c r="J7" s="47"/>
      <c r="K7" s="47"/>
    </row>
    <row r="8" spans="1:12" ht="15.75" customHeight="1" x14ac:dyDescent="0.2">
      <c r="A8" s="65"/>
      <c r="B8" s="171" t="s">
        <v>106</v>
      </c>
      <c r="C8" s="174">
        <f>'DDM Model'!D8</f>
        <v>0.42672130964384142</v>
      </c>
      <c r="D8" s="175"/>
      <c r="E8" s="173"/>
      <c r="F8" s="175"/>
      <c r="G8" s="175"/>
      <c r="H8" s="175"/>
      <c r="I8" s="176"/>
      <c r="J8" s="176"/>
      <c r="K8" s="176"/>
    </row>
    <row r="9" spans="1:12" ht="15.75" customHeight="1" x14ac:dyDescent="0.2">
      <c r="A9" s="65"/>
      <c r="B9" s="171" t="s">
        <v>107</v>
      </c>
      <c r="C9" s="172">
        <f>'DDM Model'!D9</f>
        <v>6.5551770410115326E-2</v>
      </c>
      <c r="D9" s="17"/>
      <c r="E9" s="173"/>
      <c r="F9" s="17"/>
      <c r="G9" s="17"/>
      <c r="H9" s="17"/>
      <c r="I9" s="47"/>
      <c r="J9" s="47"/>
      <c r="K9" s="47"/>
    </row>
    <row r="10" spans="1:12" ht="15.75" customHeight="1" x14ac:dyDescent="0.2">
      <c r="A10" s="65"/>
      <c r="B10" s="17"/>
      <c r="C10" s="17"/>
      <c r="D10" s="17"/>
      <c r="E10" s="17"/>
      <c r="F10" s="17"/>
      <c r="G10" s="17"/>
      <c r="H10" s="17"/>
      <c r="I10" s="47"/>
      <c r="J10" s="47"/>
      <c r="K10" s="47"/>
    </row>
    <row r="11" spans="1:12" ht="15.75" customHeight="1" x14ac:dyDescent="0.2">
      <c r="A11" s="65"/>
      <c r="B11" s="169" t="s">
        <v>108</v>
      </c>
      <c r="C11" s="170"/>
      <c r="D11" s="17"/>
      <c r="E11" s="17"/>
      <c r="F11" s="17"/>
      <c r="G11" s="17"/>
      <c r="H11" s="17"/>
      <c r="I11" s="47"/>
      <c r="J11" s="47"/>
      <c r="K11" s="47"/>
    </row>
    <row r="12" spans="1:12" ht="15.75" customHeight="1" x14ac:dyDescent="0.2">
      <c r="A12" s="65"/>
      <c r="B12" s="171" t="s">
        <v>421</v>
      </c>
      <c r="C12" s="177">
        <f>'DDM Model'!D12</f>
        <v>2.27</v>
      </c>
      <c r="D12" s="17"/>
      <c r="E12" s="173"/>
      <c r="F12" s="17"/>
      <c r="G12" s="17"/>
      <c r="H12" s="17"/>
      <c r="I12" s="47"/>
      <c r="J12" s="47"/>
      <c r="K12" s="47"/>
    </row>
    <row r="13" spans="1:12" ht="15.75" customHeight="1" x14ac:dyDescent="0.2">
      <c r="A13" s="65"/>
      <c r="B13" s="171" t="s">
        <v>110</v>
      </c>
      <c r="C13" s="177">
        <f>'DDM Model'!D13</f>
        <v>86.55</v>
      </c>
      <c r="D13" s="17"/>
      <c r="E13" s="173"/>
      <c r="F13" s="17"/>
      <c r="G13" s="17"/>
      <c r="H13" s="17"/>
      <c r="I13" s="47"/>
      <c r="J13" s="47"/>
      <c r="K13" s="47"/>
    </row>
    <row r="14" spans="1:12" ht="15.75" customHeight="1" x14ac:dyDescent="0.2">
      <c r="A14" s="65"/>
      <c r="B14" s="171" t="s">
        <v>422</v>
      </c>
      <c r="C14" s="172">
        <f>'DDM Model'!D15</f>
        <v>0.03</v>
      </c>
      <c r="D14" s="17"/>
      <c r="E14" s="173"/>
      <c r="F14" s="17"/>
      <c r="G14" s="17"/>
      <c r="H14" s="17"/>
      <c r="I14" s="47"/>
      <c r="J14" s="47"/>
      <c r="K14" s="47"/>
    </row>
    <row r="15" spans="1:12" ht="15.75" customHeight="1" x14ac:dyDescent="0.2">
      <c r="A15" s="65"/>
      <c r="B15" s="17"/>
      <c r="C15" s="17"/>
      <c r="D15" s="17"/>
      <c r="E15" s="17"/>
      <c r="F15" s="17"/>
      <c r="G15" s="17"/>
      <c r="H15" s="17"/>
      <c r="I15" s="17"/>
      <c r="J15" s="47"/>
      <c r="K15" s="47"/>
      <c r="L15" s="47"/>
    </row>
    <row r="16" spans="1:12" ht="15.75" customHeight="1" x14ac:dyDescent="0.2">
      <c r="A16" s="65"/>
      <c r="B16" s="106"/>
      <c r="C16" s="17"/>
      <c r="D16" s="17"/>
      <c r="E16" s="17"/>
      <c r="F16" s="17"/>
      <c r="G16" s="17"/>
      <c r="H16" s="17"/>
      <c r="I16" s="17"/>
      <c r="J16" s="47"/>
      <c r="K16" s="47"/>
      <c r="L16" s="47"/>
    </row>
    <row r="17" spans="1:12" ht="15" customHeight="1" x14ac:dyDescent="0.2">
      <c r="A17" s="65"/>
      <c r="B17" s="178"/>
      <c r="C17" s="17"/>
      <c r="D17" s="17"/>
      <c r="E17" s="17"/>
      <c r="F17" s="17"/>
      <c r="G17" s="17"/>
      <c r="H17" s="17"/>
      <c r="I17" s="17"/>
      <c r="J17" s="47"/>
      <c r="K17" s="47"/>
      <c r="L17" s="47"/>
    </row>
    <row r="18" spans="1:12" ht="15" customHeight="1" x14ac:dyDescent="0.2">
      <c r="A18" s="65"/>
      <c r="B18" s="179" t="s">
        <v>423</v>
      </c>
      <c r="C18" s="180"/>
      <c r="D18" s="180"/>
      <c r="E18" s="180"/>
      <c r="F18" s="181"/>
      <c r="G18" s="17"/>
      <c r="H18" s="17"/>
      <c r="I18" s="17"/>
      <c r="J18" s="65"/>
      <c r="K18" s="65"/>
      <c r="L18" s="65"/>
    </row>
    <row r="19" spans="1:12" ht="25.5" customHeight="1" x14ac:dyDescent="0.2">
      <c r="A19" s="65"/>
      <c r="B19" s="182" t="s">
        <v>177</v>
      </c>
      <c r="C19" s="183" t="s">
        <v>424</v>
      </c>
      <c r="D19" s="183" t="s">
        <v>425</v>
      </c>
      <c r="E19" s="183" t="s">
        <v>426</v>
      </c>
      <c r="F19" s="184" t="s">
        <v>427</v>
      </c>
      <c r="G19" s="17"/>
      <c r="H19" s="17"/>
      <c r="I19" s="17"/>
      <c r="J19" s="65"/>
      <c r="K19" s="65"/>
      <c r="L19" s="65"/>
    </row>
    <row r="20" spans="1:12" ht="15.75" customHeight="1" x14ac:dyDescent="0.2">
      <c r="A20" s="65"/>
      <c r="B20" s="185" t="s">
        <v>191</v>
      </c>
      <c r="C20" s="186">
        <v>0.4</v>
      </c>
      <c r="D20" s="187">
        <v>0.21</v>
      </c>
      <c r="E20" s="186">
        <v>0.87</v>
      </c>
      <c r="F20" s="188">
        <f t="shared" ref="F20:F29" si="0">IFERROR(C20/(1+(1-D20)*E20),"")</f>
        <v>0.23706513364546911</v>
      </c>
      <c r="G20" s="17"/>
      <c r="H20" s="17"/>
      <c r="I20" s="17"/>
      <c r="J20" s="65"/>
      <c r="K20" s="65"/>
      <c r="L20" s="65"/>
    </row>
    <row r="21" spans="1:12" ht="15.75" customHeight="1" x14ac:dyDescent="0.2">
      <c r="A21" s="65"/>
      <c r="B21" s="185" t="s">
        <v>193</v>
      </c>
      <c r="C21" s="186">
        <v>0.34</v>
      </c>
      <c r="D21" s="187">
        <v>0.21</v>
      </c>
      <c r="E21" s="186">
        <v>0.83</v>
      </c>
      <c r="F21" s="188">
        <f t="shared" si="0"/>
        <v>0.20535121096817058</v>
      </c>
      <c r="G21" s="17"/>
      <c r="H21" s="17"/>
      <c r="I21" s="17"/>
      <c r="J21" s="65"/>
      <c r="K21" s="65"/>
      <c r="L21" s="65"/>
    </row>
    <row r="22" spans="1:12" ht="15.75" customHeight="1" x14ac:dyDescent="0.2">
      <c r="A22" s="65"/>
      <c r="B22" s="185" t="s">
        <v>194</v>
      </c>
      <c r="C22" s="186">
        <v>0.51</v>
      </c>
      <c r="D22" s="187">
        <v>0.21</v>
      </c>
      <c r="E22" s="186">
        <v>0.87</v>
      </c>
      <c r="F22" s="188">
        <f t="shared" si="0"/>
        <v>0.30225804539797307</v>
      </c>
      <c r="G22" s="17"/>
      <c r="H22" s="17"/>
      <c r="I22" s="17"/>
      <c r="J22" s="65"/>
      <c r="K22" s="65"/>
      <c r="L22" s="65"/>
    </row>
    <row r="23" spans="1:12" ht="15.75" customHeight="1" x14ac:dyDescent="0.2">
      <c r="A23" s="65"/>
      <c r="B23" s="185" t="s">
        <v>195</v>
      </c>
      <c r="C23" s="186">
        <v>0.37</v>
      </c>
      <c r="D23" s="187">
        <v>0.21</v>
      </c>
      <c r="E23" s="186">
        <v>0.9</v>
      </c>
      <c r="F23" s="188">
        <f t="shared" si="0"/>
        <v>0.2162478082992402</v>
      </c>
      <c r="G23" s="17"/>
      <c r="H23" s="17"/>
      <c r="I23" s="17"/>
      <c r="J23" s="65"/>
      <c r="K23" s="65"/>
      <c r="L23" s="65"/>
    </row>
    <row r="24" spans="1:12" ht="15.75" customHeight="1" x14ac:dyDescent="0.2">
      <c r="A24" s="65"/>
      <c r="B24" s="185" t="s">
        <v>196</v>
      </c>
      <c r="C24" s="186">
        <v>0.44</v>
      </c>
      <c r="D24" s="187">
        <v>0.21</v>
      </c>
      <c r="E24" s="186">
        <v>0.87</v>
      </c>
      <c r="F24" s="188">
        <f t="shared" si="0"/>
        <v>0.26077164701001598</v>
      </c>
      <c r="G24" s="17"/>
      <c r="H24" s="17"/>
      <c r="I24" s="17"/>
      <c r="J24" s="65"/>
      <c r="K24" s="65"/>
      <c r="L24" s="65"/>
    </row>
    <row r="25" spans="1:12" ht="15.75" customHeight="1" x14ac:dyDescent="0.2">
      <c r="A25" s="65"/>
      <c r="B25" s="185" t="s">
        <v>197</v>
      </c>
      <c r="C25" s="186">
        <v>0.49</v>
      </c>
      <c r="D25" s="187">
        <v>0.21</v>
      </c>
      <c r="E25" s="186">
        <v>0.73</v>
      </c>
      <c r="F25" s="188">
        <f t="shared" si="0"/>
        <v>0.31077567070463624</v>
      </c>
      <c r="G25" s="17"/>
      <c r="H25" s="17"/>
      <c r="I25" s="17"/>
      <c r="J25" s="65"/>
      <c r="K25" s="65"/>
      <c r="L25" s="65"/>
    </row>
    <row r="26" spans="1:12" ht="15.75" customHeight="1" x14ac:dyDescent="0.2">
      <c r="A26" s="65"/>
      <c r="B26" s="185" t="s">
        <v>198</v>
      </c>
      <c r="C26" s="186">
        <v>0.48</v>
      </c>
      <c r="D26" s="187">
        <v>0.21</v>
      </c>
      <c r="E26" s="186">
        <v>0.79</v>
      </c>
      <c r="F26" s="188">
        <f t="shared" si="0"/>
        <v>0.29554830367588197</v>
      </c>
      <c r="G26" s="17"/>
      <c r="H26" s="17"/>
      <c r="I26" s="17"/>
      <c r="J26" s="65"/>
      <c r="K26" s="65"/>
      <c r="L26" s="65"/>
    </row>
    <row r="27" spans="1:12" ht="15.75" customHeight="1" x14ac:dyDescent="0.2">
      <c r="A27" s="65"/>
      <c r="B27" s="185" t="s">
        <v>199</v>
      </c>
      <c r="C27" s="186">
        <v>0.41</v>
      </c>
      <c r="D27" s="187">
        <v>0.21</v>
      </c>
      <c r="E27" s="186">
        <v>0.83</v>
      </c>
      <c r="F27" s="188">
        <f t="shared" si="0"/>
        <v>0.24762940146161744</v>
      </c>
      <c r="G27" s="17"/>
      <c r="H27" s="17"/>
      <c r="I27" s="17"/>
      <c r="J27" s="65"/>
      <c r="K27" s="65"/>
      <c r="L27" s="65"/>
    </row>
    <row r="28" spans="1:12" ht="15.75" customHeight="1" x14ac:dyDescent="0.2">
      <c r="A28" s="65"/>
      <c r="B28" s="185" t="s">
        <v>200</v>
      </c>
      <c r="C28" s="186">
        <v>0.33</v>
      </c>
      <c r="D28" s="187">
        <v>0.21</v>
      </c>
      <c r="E28" s="186">
        <v>0.76</v>
      </c>
      <c r="F28" s="188">
        <f t="shared" si="0"/>
        <v>0.20619845038740314</v>
      </c>
      <c r="G28" s="17"/>
      <c r="H28" s="17"/>
      <c r="I28" s="17"/>
      <c r="J28" s="65"/>
      <c r="K28" s="65"/>
      <c r="L28" s="65"/>
    </row>
    <row r="29" spans="1:12" ht="15.75" customHeight="1" x14ac:dyDescent="0.2">
      <c r="A29" s="65"/>
      <c r="B29" s="185" t="s">
        <v>201</v>
      </c>
      <c r="C29" s="186">
        <v>0.54</v>
      </c>
      <c r="D29" s="187">
        <v>0.21</v>
      </c>
      <c r="E29" s="186">
        <v>0.69</v>
      </c>
      <c r="F29" s="188">
        <f t="shared" si="0"/>
        <v>0.34949194226910879</v>
      </c>
      <c r="G29" s="175"/>
      <c r="H29" s="175"/>
      <c r="I29" s="175"/>
      <c r="J29" s="189"/>
      <c r="K29" s="189"/>
      <c r="L29" s="189"/>
    </row>
    <row r="30" spans="1:12" ht="15.75" customHeight="1" x14ac:dyDescent="0.2">
      <c r="A30" s="65"/>
      <c r="B30" s="190" t="s">
        <v>428</v>
      </c>
      <c r="C30" s="191"/>
      <c r="D30" s="191"/>
      <c r="E30" s="191"/>
      <c r="F30" s="192">
        <f>IFERROR(AVERAGE(F20:F29),"")</f>
        <v>0.26313376138195166</v>
      </c>
      <c r="G30" s="17"/>
      <c r="H30" s="17"/>
      <c r="I30" s="17"/>
      <c r="J30" s="65"/>
      <c r="K30" s="65"/>
      <c r="L30" s="65"/>
    </row>
    <row r="31" spans="1:12" ht="15.75" customHeight="1" x14ac:dyDescent="0.2">
      <c r="A31" s="65"/>
      <c r="B31" s="17"/>
      <c r="C31" s="17"/>
      <c r="D31" s="17"/>
      <c r="E31" s="17"/>
      <c r="F31" s="17"/>
      <c r="G31" s="17"/>
      <c r="H31" s="17"/>
      <c r="I31" s="17"/>
      <c r="J31" s="65"/>
      <c r="K31" s="65"/>
      <c r="L31" s="65"/>
    </row>
    <row r="32" spans="1:12" ht="15.75" customHeight="1" x14ac:dyDescent="0.2">
      <c r="A32" s="65"/>
      <c r="B32" s="179" t="s">
        <v>429</v>
      </c>
      <c r="C32" s="180"/>
      <c r="D32" s="180"/>
      <c r="E32" s="180"/>
      <c r="F32" s="181"/>
      <c r="G32" s="17"/>
      <c r="H32" s="17"/>
      <c r="I32" s="17"/>
      <c r="J32" s="65"/>
      <c r="K32" s="65"/>
      <c r="L32" s="65"/>
    </row>
    <row r="33" spans="1:12" ht="15.75" customHeight="1" x14ac:dyDescent="0.2">
      <c r="A33" s="65"/>
      <c r="B33" s="182" t="s">
        <v>177</v>
      </c>
      <c r="C33" s="183" t="s">
        <v>424</v>
      </c>
      <c r="D33" s="183" t="s">
        <v>425</v>
      </c>
      <c r="E33" s="183" t="s">
        <v>426</v>
      </c>
      <c r="F33" s="184" t="s">
        <v>427</v>
      </c>
      <c r="G33" s="17"/>
      <c r="H33" s="17"/>
      <c r="I33" s="17"/>
      <c r="J33" s="65"/>
      <c r="K33" s="65"/>
      <c r="L33" s="65"/>
    </row>
    <row r="34" spans="1:12" ht="15.75" customHeight="1" x14ac:dyDescent="0.2">
      <c r="A34" s="65"/>
      <c r="B34" s="185" t="s">
        <v>204</v>
      </c>
      <c r="C34" s="186">
        <v>0.56000000000000005</v>
      </c>
      <c r="D34" s="187">
        <v>0.25800000000000001</v>
      </c>
      <c r="E34" s="186">
        <v>0.97</v>
      </c>
      <c r="F34" s="188">
        <f t="shared" ref="F34:F43" si="1">IFERROR(C34/(1+(1-D34)*E34),"")</f>
        <v>0.32563061858187869</v>
      </c>
      <c r="G34" s="17"/>
      <c r="H34" s="17"/>
      <c r="I34" s="17"/>
      <c r="J34" s="65"/>
      <c r="K34" s="65"/>
      <c r="L34" s="65"/>
    </row>
    <row r="35" spans="1:12" ht="15.75" customHeight="1" x14ac:dyDescent="0.2">
      <c r="A35" s="65"/>
      <c r="B35" s="185" t="s">
        <v>206</v>
      </c>
      <c r="C35" s="186">
        <v>0.56999999999999995</v>
      </c>
      <c r="D35" s="187">
        <v>0.3</v>
      </c>
      <c r="E35" s="186">
        <v>0.59</v>
      </c>
      <c r="F35" s="188">
        <f t="shared" si="1"/>
        <v>0.40339702760084922</v>
      </c>
      <c r="G35" s="17"/>
      <c r="H35" s="17"/>
      <c r="I35" s="17"/>
      <c r="J35" s="65"/>
      <c r="K35" s="65"/>
      <c r="L35" s="65"/>
    </row>
    <row r="36" spans="1:12" ht="15.75" customHeight="1" x14ac:dyDescent="0.2">
      <c r="A36" s="65"/>
      <c r="B36" s="185" t="s">
        <v>207</v>
      </c>
      <c r="C36" s="186">
        <v>0.95</v>
      </c>
      <c r="D36" s="187">
        <v>0.21</v>
      </c>
      <c r="E36" s="186">
        <v>2.96</v>
      </c>
      <c r="F36" s="188">
        <f t="shared" si="1"/>
        <v>0.28456745746465373</v>
      </c>
      <c r="G36" s="17"/>
      <c r="H36" s="17"/>
      <c r="I36" s="17"/>
      <c r="J36" s="65"/>
      <c r="K36" s="65"/>
      <c r="L36" s="65"/>
    </row>
    <row r="37" spans="1:12" ht="15.75" customHeight="1" x14ac:dyDescent="0.2">
      <c r="A37" s="65"/>
      <c r="B37" s="185" t="s">
        <v>208</v>
      </c>
      <c r="C37" s="186">
        <v>0.56000000000000005</v>
      </c>
      <c r="D37" s="187">
        <v>0.25</v>
      </c>
      <c r="E37" s="186">
        <v>0.43</v>
      </c>
      <c r="F37" s="188">
        <f t="shared" si="1"/>
        <v>0.42344045368620042</v>
      </c>
      <c r="G37" s="175"/>
      <c r="H37" s="175"/>
      <c r="I37" s="175"/>
      <c r="J37" s="189"/>
      <c r="K37" s="189"/>
      <c r="L37" s="189"/>
    </row>
    <row r="38" spans="1:12" ht="15.75" customHeight="1" x14ac:dyDescent="0.2">
      <c r="A38" s="65"/>
      <c r="B38" s="185" t="s">
        <v>209</v>
      </c>
      <c r="C38" s="186">
        <v>0.75</v>
      </c>
      <c r="D38" s="187">
        <v>0.25</v>
      </c>
      <c r="E38" s="186">
        <v>0.97</v>
      </c>
      <c r="F38" s="188">
        <f t="shared" si="1"/>
        <v>0.43415340086830678</v>
      </c>
      <c r="G38" s="17"/>
      <c r="H38" s="17"/>
      <c r="I38" s="17"/>
      <c r="J38" s="65"/>
      <c r="K38" s="65"/>
      <c r="L38" s="65"/>
    </row>
    <row r="39" spans="1:12" ht="15.75" customHeight="1" x14ac:dyDescent="0.2">
      <c r="A39" s="65"/>
      <c r="B39" s="185" t="s">
        <v>211</v>
      </c>
      <c r="C39" s="186">
        <v>0.57999999999999996</v>
      </c>
      <c r="D39" s="187">
        <v>0.25</v>
      </c>
      <c r="E39" s="186">
        <v>0.51</v>
      </c>
      <c r="F39" s="188">
        <f t="shared" si="1"/>
        <v>0.41952983725135617</v>
      </c>
      <c r="G39" s="17"/>
      <c r="H39" s="17"/>
      <c r="I39" s="17"/>
      <c r="J39" s="65"/>
      <c r="K39" s="65"/>
      <c r="L39" s="65"/>
    </row>
    <row r="40" spans="1:12" ht="15.75" customHeight="1" x14ac:dyDescent="0.2">
      <c r="A40" s="65"/>
      <c r="B40" s="185" t="s">
        <v>213</v>
      </c>
      <c r="C40" s="186">
        <v>1</v>
      </c>
      <c r="D40" s="187">
        <v>0.26500000000000001</v>
      </c>
      <c r="E40" s="186">
        <v>1.92</v>
      </c>
      <c r="F40" s="188">
        <f t="shared" si="1"/>
        <v>0.41473125414731254</v>
      </c>
      <c r="G40" s="17"/>
      <c r="H40" s="17"/>
      <c r="I40" s="17"/>
      <c r="J40" s="65"/>
      <c r="K40" s="65"/>
      <c r="L40" s="65"/>
    </row>
    <row r="41" spans="1:12" ht="15.75" customHeight="1" x14ac:dyDescent="0.2">
      <c r="A41" s="65"/>
      <c r="B41" s="185" t="s">
        <v>214</v>
      </c>
      <c r="C41" s="186">
        <v>0.88</v>
      </c>
      <c r="D41" s="187">
        <v>0.21</v>
      </c>
      <c r="E41" s="186">
        <v>1.1200000000000001</v>
      </c>
      <c r="F41" s="188">
        <f t="shared" si="1"/>
        <v>0.46689303904923596</v>
      </c>
      <c r="G41" s="17"/>
      <c r="H41" s="17"/>
      <c r="I41" s="17"/>
      <c r="J41" s="65"/>
      <c r="K41" s="65"/>
      <c r="L41" s="65"/>
    </row>
    <row r="42" spans="1:12" ht="15.75" customHeight="1" x14ac:dyDescent="0.2">
      <c r="A42" s="65"/>
      <c r="B42" s="185" t="s">
        <v>215</v>
      </c>
      <c r="C42" s="186">
        <v>0.62</v>
      </c>
      <c r="D42" s="187">
        <v>0.26500000000000001</v>
      </c>
      <c r="E42" s="186">
        <v>1.1200000000000001</v>
      </c>
      <c r="F42" s="188">
        <f t="shared" si="1"/>
        <v>0.34006143045195264</v>
      </c>
      <c r="G42" s="17"/>
      <c r="H42" s="17"/>
      <c r="I42" s="17"/>
      <c r="J42" s="65"/>
      <c r="K42" s="65"/>
      <c r="L42" s="65"/>
    </row>
    <row r="43" spans="1:12" ht="15.75" customHeight="1" x14ac:dyDescent="0.2">
      <c r="A43" s="65"/>
      <c r="B43" s="185" t="s">
        <v>217</v>
      </c>
      <c r="C43" s="186">
        <v>0.41</v>
      </c>
      <c r="D43" s="187">
        <v>0.23</v>
      </c>
      <c r="E43" s="186">
        <v>0.74</v>
      </c>
      <c r="F43" s="188">
        <f t="shared" si="1"/>
        <v>0.26117976812332783</v>
      </c>
      <c r="G43" s="17"/>
      <c r="H43" s="17"/>
      <c r="I43" s="17"/>
      <c r="J43" s="65"/>
      <c r="K43" s="65"/>
      <c r="L43" s="65"/>
    </row>
    <row r="44" spans="1:12" ht="15.75" customHeight="1" x14ac:dyDescent="0.2">
      <c r="A44" s="65"/>
      <c r="B44" s="190" t="s">
        <v>430</v>
      </c>
      <c r="C44" s="191"/>
      <c r="D44" s="191"/>
      <c r="E44" s="191"/>
      <c r="F44" s="192">
        <f>IFERROR(AVERAGE(F34:F43),"")</f>
        <v>0.37735842872250747</v>
      </c>
      <c r="G44" s="17"/>
      <c r="H44" s="17"/>
      <c r="I44" s="17"/>
      <c r="J44" s="65"/>
      <c r="K44" s="65"/>
      <c r="L44" s="65"/>
    </row>
    <row r="45" spans="1:12" ht="15.75" customHeight="1" x14ac:dyDescent="0.2">
      <c r="A45" s="65"/>
      <c r="B45" s="17"/>
      <c r="C45" s="17"/>
      <c r="D45" s="17"/>
      <c r="E45" s="17"/>
      <c r="F45" s="17"/>
      <c r="G45" s="17"/>
      <c r="H45" s="17"/>
      <c r="I45" s="17"/>
      <c r="J45" s="65"/>
      <c r="K45" s="65"/>
      <c r="L45" s="65"/>
    </row>
    <row r="46" spans="1:12" ht="15.75" customHeight="1" x14ac:dyDescent="0.2">
      <c r="A46" s="65"/>
      <c r="B46" s="179" t="s">
        <v>431</v>
      </c>
      <c r="C46" s="180"/>
      <c r="D46" s="181"/>
      <c r="E46" s="17"/>
      <c r="F46" s="17"/>
      <c r="G46" s="17"/>
      <c r="H46" s="17"/>
      <c r="I46" s="17"/>
      <c r="J46" s="65"/>
      <c r="K46" s="65"/>
      <c r="L46" s="65"/>
    </row>
    <row r="47" spans="1:12" ht="15.75" customHeight="1" x14ac:dyDescent="0.2">
      <c r="A47" s="65"/>
      <c r="B47" s="193" t="s">
        <v>432</v>
      </c>
      <c r="C47" s="175"/>
      <c r="D47" s="188">
        <f>F30</f>
        <v>0.26313376138195166</v>
      </c>
      <c r="E47" s="175"/>
      <c r="F47" s="175"/>
      <c r="G47" s="175"/>
      <c r="H47" s="175"/>
      <c r="I47" s="175"/>
      <c r="J47" s="189"/>
      <c r="K47" s="189"/>
      <c r="L47" s="189"/>
    </row>
    <row r="48" spans="1:12" ht="15.75" customHeight="1" x14ac:dyDescent="0.2">
      <c r="A48" s="65"/>
      <c r="B48" s="193" t="s">
        <v>433</v>
      </c>
      <c r="C48" s="17"/>
      <c r="D48" s="194">
        <v>0.65500000000000003</v>
      </c>
      <c r="E48" s="17"/>
      <c r="F48" s="17"/>
      <c r="G48" s="17"/>
      <c r="H48" s="17"/>
      <c r="I48" s="17"/>
      <c r="J48" s="65"/>
      <c r="K48" s="65"/>
      <c r="L48" s="65"/>
    </row>
    <row r="49" spans="1:12" ht="15.75" customHeight="1" x14ac:dyDescent="0.2">
      <c r="A49" s="65"/>
      <c r="B49" s="193" t="s">
        <v>434</v>
      </c>
      <c r="C49" s="17"/>
      <c r="D49" s="188">
        <f>F44</f>
        <v>0.37735842872250747</v>
      </c>
      <c r="E49" s="17"/>
      <c r="F49" s="17"/>
      <c r="G49" s="17"/>
      <c r="H49" s="17"/>
      <c r="I49" s="17"/>
      <c r="J49" s="65"/>
      <c r="K49" s="65"/>
      <c r="L49" s="65"/>
    </row>
    <row r="50" spans="1:12" ht="15.75" customHeight="1" x14ac:dyDescent="0.2">
      <c r="A50" s="65"/>
      <c r="B50" s="193" t="s">
        <v>435</v>
      </c>
      <c r="C50" s="17"/>
      <c r="D50" s="194">
        <v>0.34499999999999997</v>
      </c>
      <c r="E50" s="17"/>
      <c r="F50" s="17"/>
      <c r="G50" s="17"/>
      <c r="H50" s="17"/>
      <c r="I50" s="17"/>
      <c r="J50" s="65"/>
      <c r="K50" s="65"/>
      <c r="L50" s="65"/>
    </row>
    <row r="51" spans="1:12" ht="15.75" customHeight="1" x14ac:dyDescent="0.2">
      <c r="A51" s="65"/>
      <c r="B51" s="193" t="s">
        <v>436</v>
      </c>
      <c r="C51" s="17"/>
      <c r="D51" s="195">
        <f>D47*D48+D49*D50</f>
        <v>0.30254127161444344</v>
      </c>
      <c r="E51" s="17"/>
      <c r="F51" s="17"/>
      <c r="G51" s="17"/>
      <c r="H51" s="17"/>
      <c r="I51" s="17"/>
      <c r="J51" s="65"/>
      <c r="K51" s="65"/>
      <c r="L51" s="65"/>
    </row>
    <row r="52" spans="1:12" ht="15.75" customHeight="1" x14ac:dyDescent="0.2">
      <c r="A52" s="65"/>
      <c r="B52" s="193" t="s">
        <v>437</v>
      </c>
      <c r="C52" s="17"/>
      <c r="D52" s="194">
        <v>0.21</v>
      </c>
      <c r="E52" s="17"/>
      <c r="F52" s="17"/>
      <c r="G52" s="17"/>
      <c r="H52" s="17"/>
      <c r="I52" s="17"/>
      <c r="J52" s="65"/>
      <c r="K52" s="65"/>
      <c r="L52" s="65"/>
    </row>
    <row r="53" spans="1:12" ht="25.5" customHeight="1" x14ac:dyDescent="0.2">
      <c r="A53" s="65"/>
      <c r="B53" s="193" t="s">
        <v>438</v>
      </c>
      <c r="C53" s="82"/>
      <c r="D53" s="188">
        <f>95600000000/184000000000</f>
        <v>0.51956521739130435</v>
      </c>
      <c r="E53" s="17"/>
      <c r="F53" s="17"/>
      <c r="G53" s="17"/>
      <c r="H53" s="17"/>
      <c r="I53" s="17"/>
      <c r="J53" s="65"/>
      <c r="K53" s="65"/>
      <c r="L53" s="65"/>
    </row>
    <row r="54" spans="1:12" ht="25.5" customHeight="1" x14ac:dyDescent="0.2">
      <c r="A54" s="65"/>
      <c r="B54" s="196" t="s">
        <v>439</v>
      </c>
      <c r="C54" s="191"/>
      <c r="D54" s="197">
        <f>D51*(1+(1-D52)*D53)</f>
        <v>0.42672130964384142</v>
      </c>
      <c r="E54" s="17"/>
      <c r="F54" s="17"/>
      <c r="G54" s="17"/>
      <c r="H54" s="17"/>
      <c r="I54" s="17"/>
      <c r="J54" s="65"/>
      <c r="K54" s="65"/>
      <c r="L54" s="65"/>
    </row>
    <row r="55" spans="1:12" ht="25.5" customHeight="1" x14ac:dyDescent="0.2">
      <c r="A55" s="65"/>
      <c r="B55" s="17"/>
      <c r="C55" s="17"/>
      <c r="D55" s="17"/>
      <c r="E55" s="17"/>
      <c r="F55" s="17"/>
      <c r="G55" s="17"/>
      <c r="H55" s="17"/>
      <c r="I55" s="17"/>
      <c r="J55" s="65"/>
      <c r="K55" s="65"/>
      <c r="L55" s="65"/>
    </row>
    <row r="56" spans="1:12" ht="15.75" customHeight="1" x14ac:dyDescent="0.2">
      <c r="A56" s="65"/>
      <c r="B56" s="17"/>
      <c r="C56" s="17"/>
      <c r="D56" s="17"/>
      <c r="E56" s="17"/>
      <c r="F56" s="17"/>
      <c r="G56" s="17"/>
      <c r="H56" s="17"/>
      <c r="I56" s="17"/>
    </row>
    <row r="57" spans="1:12" ht="15.75" customHeight="1" x14ac:dyDescent="0.2">
      <c r="B57" s="179" t="s">
        <v>440</v>
      </c>
      <c r="C57" s="180"/>
      <c r="D57" s="180"/>
      <c r="E57" s="181"/>
      <c r="F57" s="17"/>
      <c r="G57" s="17"/>
      <c r="H57" s="17"/>
      <c r="I57" s="17"/>
    </row>
    <row r="58" spans="1:12" ht="15.75" customHeight="1" x14ac:dyDescent="0.2">
      <c r="B58" s="198"/>
      <c r="C58" s="199" t="s">
        <v>427</v>
      </c>
      <c r="D58" s="199" t="s">
        <v>424</v>
      </c>
      <c r="E58" s="200" t="s">
        <v>441</v>
      </c>
      <c r="F58" s="17"/>
      <c r="G58" s="17"/>
      <c r="H58" s="17"/>
      <c r="I58" s="17"/>
    </row>
    <row r="59" spans="1:12" ht="15.75" customHeight="1" x14ac:dyDescent="0.2">
      <c r="B59" s="201" t="s">
        <v>442</v>
      </c>
      <c r="C59" s="202">
        <f>D47</f>
        <v>0.26313376138195166</v>
      </c>
      <c r="D59" s="202">
        <f>D47*(1+(1-$D$52)*$D$53)</f>
        <v>0.37113872983092189</v>
      </c>
      <c r="E59" s="203">
        <f>$C$6+D59*$C$7</f>
        <v>6.3072787350459111E-2</v>
      </c>
      <c r="F59" s="17"/>
      <c r="G59" s="17"/>
      <c r="H59" s="17"/>
      <c r="I59" s="17"/>
    </row>
    <row r="60" spans="1:12" ht="15.75" customHeight="1" x14ac:dyDescent="0.2">
      <c r="B60" s="201" t="s">
        <v>443</v>
      </c>
      <c r="C60" s="202">
        <f>D49</f>
        <v>0.37735842872250747</v>
      </c>
      <c r="D60" s="202">
        <f>D49*(1+(1-$D$52)*$D$53)</f>
        <v>0.5322476568248915</v>
      </c>
      <c r="E60" s="203">
        <f>$C$6+D60*$C$7</f>
        <v>7.0258245494390165E-2</v>
      </c>
      <c r="F60" s="17"/>
      <c r="G60" s="17"/>
      <c r="H60" s="17"/>
      <c r="I60" s="17"/>
    </row>
    <row r="61" spans="1:12" ht="15.75" customHeight="1" x14ac:dyDescent="0.2">
      <c r="B61" s="204" t="s">
        <v>444</v>
      </c>
      <c r="C61" s="202">
        <f>D51</f>
        <v>0.30254127161444344</v>
      </c>
      <c r="D61" s="202">
        <f>D54</f>
        <v>0.42672130964384142</v>
      </c>
      <c r="E61" s="205">
        <f>$C$6+D61*$C$7</f>
        <v>6.5551770410115326E-2</v>
      </c>
      <c r="F61" s="17"/>
      <c r="G61" s="17"/>
      <c r="H61" s="17"/>
      <c r="I61" s="17"/>
    </row>
    <row r="62" spans="1:12" ht="15.75" customHeight="1" x14ac:dyDescent="0.2">
      <c r="B62" s="17"/>
      <c r="C62" s="17"/>
      <c r="D62" s="17"/>
      <c r="E62" s="17"/>
      <c r="F62" s="17"/>
      <c r="G62" s="17"/>
      <c r="H62" s="17"/>
      <c r="I62" s="17"/>
    </row>
    <row r="63" spans="1:12" ht="15.75" customHeight="1" x14ac:dyDescent="0.2">
      <c r="B63" s="17"/>
      <c r="C63" s="17"/>
      <c r="D63" s="17"/>
      <c r="E63" s="17"/>
      <c r="F63" s="17"/>
      <c r="G63" s="17"/>
      <c r="H63" s="17"/>
      <c r="I63" s="17"/>
    </row>
    <row r="64" spans="1:12" ht="15.75" customHeight="1" x14ac:dyDescent="0.2">
      <c r="B64" s="17"/>
      <c r="C64" s="17"/>
      <c r="D64" s="17"/>
      <c r="E64" s="17"/>
      <c r="F64" s="17"/>
      <c r="G64" s="17"/>
      <c r="H64" s="17"/>
      <c r="I64" s="17"/>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3-Statement Model</vt:lpstr>
      <vt:lpstr>DDM Model</vt:lpstr>
      <vt:lpstr>Residual Income Model</vt:lpstr>
      <vt:lpstr>SOTP &amp; Multiples</vt:lpstr>
      <vt:lpstr>Operating Model</vt:lpstr>
      <vt:lpstr>16'-25' 10Ks</vt:lpstr>
      <vt:lpstr>DDM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Gangloff</dc:creator>
  <dc:description/>
  <cp:lastModifiedBy>Ryan Roberts</cp:lastModifiedBy>
  <cp:revision>4</cp:revision>
  <dcterms:created xsi:type="dcterms:W3CDTF">2024-07-19T23:19:36Z</dcterms:created>
  <dcterms:modified xsi:type="dcterms:W3CDTF">2026-08-22T22:32:24Z</dcterms:modified>
  <dc:language>en-US</dc:language>
</cp:coreProperties>
</file>